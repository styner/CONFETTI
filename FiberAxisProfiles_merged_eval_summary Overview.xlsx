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yner/Documents/Developer/CONFETTI/"/>
    </mc:Choice>
  </mc:AlternateContent>
  <xr:revisionPtr revIDLastSave="0" documentId="13_ncr:9_{2B15DA73-6E3B-A246-B00E-9DC198391025}" xr6:coauthVersionLast="47" xr6:coauthVersionMax="47" xr10:uidLastSave="{00000000-0000-0000-0000-000000000000}"/>
  <bookViews>
    <workbookView xWindow="9240" yWindow="600" windowWidth="28040" windowHeight="17180" activeTab="1" xr2:uid="{FB7B3C22-0F66-FC4D-8D0C-24090D077368}"/>
  </bookViews>
  <sheets>
    <sheet name="FiberAxisProfiles_merged_eval_s" sheetId="1" r:id="rId1"/>
    <sheet name="Overall" sheetId="2" r:id="rId2"/>
  </sheets>
  <definedNames>
    <definedName name="_xlnm._FilterDatabase" localSheetId="1" hidden="1">Overall!$A$1:$A$26</definedName>
    <definedName name="_xlchart.v1.0" hidden="1">Overall!$A$2:$A$8</definedName>
    <definedName name="_xlchart.v1.1" hidden="1">Overall!$B$1</definedName>
    <definedName name="_xlchart.v1.12" hidden="1">Overall!$A$1:$B$36</definedName>
    <definedName name="_xlchart.v1.13" hidden="1">Overall!$C$30:$C$36</definedName>
    <definedName name="_xlchart.v1.2" hidden="1">Overall!$B$2:$B$8</definedName>
    <definedName name="_xlchart.v1.3" hidden="1">Overall!$C$1</definedName>
    <definedName name="_xlchart.v1.4" hidden="1">Overall!$C$2:$C$8</definedName>
    <definedName name="_xlchart.v1.5" hidden="1">Overall!$A$2:$A$8</definedName>
    <definedName name="_xlchart.v1.6" hidden="1">Overall!$B$1</definedName>
    <definedName name="_xlchart.v1.7" hidden="1">Overall!$B$2:$B$8</definedName>
    <definedName name="_xlchart.v1.8" hidden="1">Overall!$C$1</definedName>
    <definedName name="_xlchart.v1.9" hidden="1">Overall!$C$2:$C$8</definedName>
    <definedName name="_xlchart.v2.10" hidden="1">Overall!$A$1:$B$36</definedName>
    <definedName name="_xlchart.v2.11" hidden="1">Overall!$C$30:$C$36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2" l="1"/>
  <c r="B8" i="2"/>
  <c r="L122" i="1"/>
  <c r="L123" i="1"/>
  <c r="L124" i="1"/>
  <c r="L125" i="1"/>
  <c r="L126" i="1"/>
  <c r="L127" i="1"/>
  <c r="L121" i="1"/>
  <c r="M127" i="1"/>
  <c r="L115" i="1"/>
  <c r="L116" i="1"/>
  <c r="L117" i="1"/>
  <c r="L118" i="1"/>
  <c r="L119" i="1"/>
  <c r="L120" i="1"/>
  <c r="L114" i="1"/>
  <c r="M120" i="1"/>
  <c r="L108" i="1"/>
  <c r="L109" i="1"/>
  <c r="L110" i="1"/>
  <c r="L111" i="1"/>
  <c r="L112" i="1"/>
  <c r="L113" i="1"/>
  <c r="L107" i="1"/>
  <c r="M113" i="1"/>
  <c r="M106" i="1"/>
  <c r="L101" i="1"/>
  <c r="L102" i="1"/>
  <c r="L103" i="1"/>
  <c r="L104" i="1"/>
  <c r="L105" i="1"/>
  <c r="L106" i="1"/>
  <c r="L100" i="1"/>
  <c r="M8" i="1"/>
  <c r="M15" i="1"/>
  <c r="M22" i="1"/>
  <c r="M29" i="1"/>
  <c r="M36" i="1"/>
  <c r="M43" i="1"/>
  <c r="M50" i="1"/>
  <c r="M57" i="1"/>
  <c r="M64" i="1"/>
  <c r="M71" i="1"/>
  <c r="M78" i="1"/>
  <c r="M85" i="1"/>
  <c r="M92" i="1"/>
  <c r="M99" i="1"/>
  <c r="L80" i="1"/>
  <c r="L81" i="1"/>
  <c r="L82" i="1"/>
  <c r="L83" i="1"/>
  <c r="L84" i="1"/>
  <c r="L85" i="1"/>
  <c r="L79" i="1"/>
  <c r="L87" i="1"/>
  <c r="L88" i="1"/>
  <c r="L89" i="1"/>
  <c r="L90" i="1"/>
  <c r="L91" i="1"/>
  <c r="L92" i="1"/>
  <c r="L86" i="1"/>
  <c r="L93" i="1"/>
  <c r="L94" i="1"/>
  <c r="L95" i="1"/>
  <c r="L96" i="1"/>
  <c r="L97" i="1"/>
  <c r="L98" i="1"/>
  <c r="L99" i="1"/>
  <c r="C7" i="2"/>
  <c r="C6" i="2"/>
  <c r="C5" i="2"/>
  <c r="C4" i="2"/>
  <c r="B7" i="2"/>
  <c r="B6" i="2"/>
  <c r="B5" i="2"/>
  <c r="B4" i="2"/>
  <c r="C3" i="2"/>
  <c r="B3" i="2"/>
  <c r="C2" i="2"/>
  <c r="B2" i="2"/>
</calcChain>
</file>

<file path=xl/sharedStrings.xml><?xml version="1.0" encoding="utf-8"?>
<sst xmlns="http://schemas.openxmlformats.org/spreadsheetml/2006/main" count="380" uniqueCount="33">
  <si>
    <t>method</t>
  </si>
  <si>
    <t>property</t>
  </si>
  <si>
    <t>n_eval</t>
  </si>
  <si>
    <t>mae_mean</t>
  </si>
  <si>
    <t>mae_std</t>
  </si>
  <si>
    <t>rmse_mean</t>
  </si>
  <si>
    <t>rmse_std</t>
  </si>
  <si>
    <t>property_std</t>
  </si>
  <si>
    <t>knn10</t>
  </si>
  <si>
    <t>AD</t>
  </si>
  <si>
    <t>FA</t>
  </si>
  <si>
    <t>FWF</t>
  </si>
  <si>
    <t>MD</t>
  </si>
  <si>
    <t>NDI</t>
  </si>
  <si>
    <t>ODI</t>
  </si>
  <si>
    <t>RD</t>
  </si>
  <si>
    <t>knn5</t>
  </si>
  <si>
    <t>linear</t>
  </si>
  <si>
    <t>mean</t>
  </si>
  <si>
    <t>median</t>
  </si>
  <si>
    <t>rbf</t>
  </si>
  <si>
    <t>siren</t>
  </si>
  <si>
    <t>epochs</t>
  </si>
  <si>
    <t>omega_0</t>
  </si>
  <si>
    <t>nmae = MAE/property_std</t>
  </si>
  <si>
    <t>NMAE all</t>
  </si>
  <si>
    <t>NMAE no MD, no FWF</t>
  </si>
  <si>
    <t>overfitting</t>
  </si>
  <si>
    <t>lower epochs=&gt; better</t>
  </si>
  <si>
    <t>even better</t>
  </si>
  <si>
    <t>about the same</t>
  </si>
  <si>
    <t>worse for FA</t>
  </si>
  <si>
    <t>best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</si>
</sst>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165" fontId="0" fillId="0" borderId="0" xfId="0" applyNumberFormat="1"/>
    <xf numFmtId="165" fontId="0" fillId="33" borderId="0" xfId="0" applyNumberFormat="1" applyFill="1"/>
    <xf numFmtId="165" fontId="18" fillId="0" borderId="0" xfId="0" applyNumberFormat="1" applyFont="1"/>
    <xf numFmtId="165" fontId="18" fillId="33" borderId="0" xfId="0" applyNumberFormat="1" applyFont="1" applyFill="1"/>
    <xf numFmtId="10" fontId="0" fillId="0" borderId="0" xfId="1" applyNumberFormat="1" applyFont="1" applyFill="1"/>
    <xf numFmtId="0" fontId="0" fillId="0" borderId="10" xfId="0" applyBorder="1"/>
    <xf numFmtId="165" fontId="0" fillId="0" borderId="10" xfId="0" applyNumberFormat="1" applyBorder="1"/>
    <xf numFmtId="165" fontId="0" fillId="33" borderId="10" xfId="0" applyNumberFormat="1" applyFill="1" applyBorder="1"/>
    <xf numFmtId="10" fontId="0" fillId="0" borderId="10" xfId="1" applyNumberFormat="1" applyFont="1" applyFill="1" applyBorder="1"/>
    <xf numFmtId="165" fontId="18" fillId="0" borderId="10" xfId="0" applyNumberFormat="1" applyFont="1" applyBorder="1"/>
    <xf numFmtId="165" fontId="18" fillId="33" borderId="10" xfId="0" applyNumberFormat="1" applyFont="1" applyFill="1" applyBorder="1"/>
    <xf numFmtId="0" fontId="0" fillId="0" borderId="0" xfId="0" applyBorder="1"/>
    <xf numFmtId="165" fontId="18" fillId="0" borderId="0" xfId="0" applyNumberFormat="1" applyFont="1" applyBorder="1"/>
    <xf numFmtId="165" fontId="18" fillId="33" borderId="0" xfId="0" applyNumberFormat="1" applyFont="1" applyFill="1" applyBorder="1"/>
    <xf numFmtId="10" fontId="0" fillId="0" borderId="0" xfId="1" applyNumberFormat="1" applyFont="1" applyFill="1" applyBorder="1"/>
    <xf numFmtId="165" fontId="0" fillId="34" borderId="0" xfId="0" applyNumberFormat="1" applyFill="1"/>
    <xf numFmtId="165" fontId="0" fillId="33" borderId="0" xfId="0" applyNumberFormat="1" applyFill="1" applyBorder="1"/>
    <xf numFmtId="11" fontId="0" fillId="0" borderId="0" xfId="0" applyNumberFormat="1" applyFill="1" applyBorder="1"/>
    <xf numFmtId="165" fontId="0" fillId="0" borderId="0" xfId="0" applyNumberFormat="1" applyFill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Imputation error -  Normalized MAE - Average over all</a:t>
            </a:r>
            <a:r>
              <a:rPr lang="en-US" baseline="0"/>
              <a:t> properties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Overall!$B$1</c:f>
              <c:strCache>
                <c:ptCount val="1"/>
                <c:pt idx="0">
                  <c:v>NMAE all</c:v>
                </c:pt>
              </c:strCache>
            </c:strRef>
          </c:tx>
          <c:invertIfNegative val="0"/>
          <c:cat>
            <c:strRef>
              <c:f>Overall!$A$2:$A$8</c:f>
              <c:strCache>
                <c:ptCount val="7"/>
                <c:pt idx="0">
                  <c:v>knn10</c:v>
                </c:pt>
                <c:pt idx="1">
                  <c:v>knn5</c:v>
                </c:pt>
                <c:pt idx="2">
                  <c:v>linear</c:v>
                </c:pt>
                <c:pt idx="3">
                  <c:v>mean</c:v>
                </c:pt>
                <c:pt idx="4">
                  <c:v>median</c:v>
                </c:pt>
                <c:pt idx="5">
                  <c:v>rbf</c:v>
                </c:pt>
                <c:pt idx="6">
                  <c:v>siren</c:v>
                </c:pt>
              </c:strCache>
            </c:strRef>
          </c:cat>
          <c:val>
            <c:numRef>
              <c:f>Overall!$B$2:$B$8</c:f>
              <c:numCache>
                <c:formatCode>0.000</c:formatCode>
                <c:ptCount val="7"/>
                <c:pt idx="0">
                  <c:v>0.55465885714285712</c:v>
                </c:pt>
                <c:pt idx="1">
                  <c:v>0.57526999999999995</c:v>
                </c:pt>
                <c:pt idx="2">
                  <c:v>0.67866271428571423</c:v>
                </c:pt>
                <c:pt idx="3">
                  <c:v>0.69502742857142863</c:v>
                </c:pt>
                <c:pt idx="4">
                  <c:v>0.65325100000000014</c:v>
                </c:pt>
                <c:pt idx="5">
                  <c:v>0.62317842857142847</c:v>
                </c:pt>
                <c:pt idx="6">
                  <c:v>0.5064845714285714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4C9-1B4A-ADBB-62A6B6A76632}"/>
            </c:ext>
          </c:extLst>
        </c:ser>
        <c:ser>
          <c:idx val="3"/>
          <c:order val="1"/>
          <c:tx>
            <c:strRef>
              <c:f>Overall!$C$1</c:f>
              <c:strCache>
                <c:ptCount val="1"/>
                <c:pt idx="0">
                  <c:v>NMAE no MD, no FWF</c:v>
                </c:pt>
              </c:strCache>
            </c:strRef>
          </c:tx>
          <c:invertIfNegative val="0"/>
          <c:cat>
            <c:strRef>
              <c:f>Overall!$A$2:$A$8</c:f>
              <c:strCache>
                <c:ptCount val="7"/>
                <c:pt idx="0">
                  <c:v>knn10</c:v>
                </c:pt>
                <c:pt idx="1">
                  <c:v>knn5</c:v>
                </c:pt>
                <c:pt idx="2">
                  <c:v>linear</c:v>
                </c:pt>
                <c:pt idx="3">
                  <c:v>mean</c:v>
                </c:pt>
                <c:pt idx="4">
                  <c:v>median</c:v>
                </c:pt>
                <c:pt idx="5">
                  <c:v>rbf</c:v>
                </c:pt>
                <c:pt idx="6">
                  <c:v>siren</c:v>
                </c:pt>
              </c:strCache>
            </c:strRef>
          </c:cat>
          <c:val>
            <c:numRef>
              <c:f>Overall!$C$2:$C$8</c:f>
              <c:numCache>
                <c:formatCode>0.000</c:formatCode>
                <c:ptCount val="7"/>
                <c:pt idx="0">
                  <c:v>0.57616860000000003</c:v>
                </c:pt>
                <c:pt idx="1">
                  <c:v>0.60054759999999996</c:v>
                </c:pt>
                <c:pt idx="2">
                  <c:v>0.67293120000000006</c:v>
                </c:pt>
                <c:pt idx="3">
                  <c:v>0.71439579999999991</c:v>
                </c:pt>
                <c:pt idx="4">
                  <c:v>0.69510080000000007</c:v>
                </c:pt>
                <c:pt idx="5">
                  <c:v>0.63721539999999999</c:v>
                </c:pt>
                <c:pt idx="6">
                  <c:v>0.51968979999999998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4C9-1B4A-ADBB-62A6B6A76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6731327"/>
        <c:axId val="1106731775"/>
      </c:barChart>
      <c:catAx>
        <c:axId val="1106731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731775"/>
        <c:crosses val="autoZero"/>
        <c:auto val="1"/>
        <c:lblAlgn val="ctr"/>
        <c:lblOffset val="100"/>
        <c:noMultiLvlLbl val="0"/>
      </c:catAx>
      <c:valAx>
        <c:axId val="1106731775"/>
        <c:scaling>
          <c:orientation val="minMax"/>
          <c:max val="0.75000000000000011"/>
          <c:min val="0.4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731327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Imputation error -  Normalized MAE - FA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Overall!$A$30:$B$36</c:f>
              <c:multiLvlStrCache>
                <c:ptCount val="7"/>
                <c:lvl>
                  <c:pt idx="0">
                    <c:v>FA</c:v>
                  </c:pt>
                  <c:pt idx="1">
                    <c:v>FA</c:v>
                  </c:pt>
                  <c:pt idx="2">
                    <c:v>FA</c:v>
                  </c:pt>
                  <c:pt idx="3">
                    <c:v>FA</c:v>
                  </c:pt>
                  <c:pt idx="4">
                    <c:v>FA</c:v>
                  </c:pt>
                  <c:pt idx="5">
                    <c:v>FA</c:v>
                  </c:pt>
                  <c:pt idx="6">
                    <c:v>FA</c:v>
                  </c:pt>
                </c:lvl>
                <c:lvl>
                  <c:pt idx="0">
                    <c:v>knn10</c:v>
                  </c:pt>
                  <c:pt idx="1">
                    <c:v>knn5</c:v>
                  </c:pt>
                  <c:pt idx="2">
                    <c:v>linear</c:v>
                  </c:pt>
                  <c:pt idx="3">
                    <c:v>mean</c:v>
                  </c:pt>
                  <c:pt idx="4">
                    <c:v>median</c:v>
                  </c:pt>
                  <c:pt idx="5">
                    <c:v>rbf</c:v>
                  </c:pt>
                  <c:pt idx="6">
                    <c:v>siren</c:v>
                  </c:pt>
                </c:lvl>
              </c:multiLvlStrCache>
            </c:multiLvlStrRef>
          </c:cat>
          <c:val>
            <c:numRef>
              <c:f>Overall!$C$30:$C$36</c:f>
              <c:numCache>
                <c:formatCode>0.000</c:formatCode>
                <c:ptCount val="7"/>
                <c:pt idx="0">
                  <c:v>0.67722599999999999</c:v>
                </c:pt>
                <c:pt idx="1">
                  <c:v>0.71470500000000003</c:v>
                </c:pt>
                <c:pt idx="2">
                  <c:v>0.78061999999999998</c:v>
                </c:pt>
                <c:pt idx="3">
                  <c:v>0.78930299999999998</c:v>
                </c:pt>
                <c:pt idx="4">
                  <c:v>0.78466199999999997</c:v>
                </c:pt>
                <c:pt idx="5">
                  <c:v>0.72732799999999997</c:v>
                </c:pt>
                <c:pt idx="6">
                  <c:v>0.59586700000000004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FA-5548-B954-370B3C066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1460991"/>
        <c:axId val="1301455615"/>
      </c:barChart>
      <c:catAx>
        <c:axId val="1301460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1455615"/>
        <c:crosses val="autoZero"/>
        <c:auto val="1"/>
        <c:lblAlgn val="ctr"/>
        <c:lblOffset val="100"/>
        <c:noMultiLvlLbl val="0"/>
      </c:catAx>
      <c:valAx>
        <c:axId val="1301455615"/>
        <c:scaling>
          <c:orientation val="minMax"/>
          <c:max val="0.8"/>
          <c:min val="0.55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1460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298450</xdr:colOff>
      <xdr:row>0</xdr:row>
      <xdr:rowOff>107950</xdr:rowOff>
    </xdr:from>
    <xdr:to>
      <xdr:col>10</xdr:col>
      <xdr:colOff>177800</xdr:colOff>
      <xdr:row>11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B241D4-6AA5-6C5A-254D-76503F71E3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190500</xdr:colOff>
      <xdr:row>12</xdr:row>
      <xdr:rowOff>44450</xdr:rowOff>
    </xdr:from>
    <xdr:to>
      <xdr:col>10</xdr:col>
      <xdr:colOff>25400</xdr:colOff>
      <xdr:row>24</xdr:row>
      <xdr:rowOff>114300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D262F3D-5C9A-6C48-F89A-020CAD477F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55B28-78A1-A94C-804F-715F1DF8E0B9}">
  <dimension ref="A1:N127"/>
  <sheetViews>
    <sheetView topLeftCell="A97" workbookViewId="0">
      <selection activeCell="F2" sqref="F2"/>
    </sheetView>
  </sheetViews>
  <sheetFormatPr baseColWidth="10" defaultRowHeight="16" x14ac:dyDescent="0.2"/>
  <cols>
    <col min="3" max="3" width="7.1640625" customWidth="1"/>
    <col min="4" max="4" width="8.33203125" customWidth="1"/>
    <col min="5" max="5" width="6.83203125" customWidth="1"/>
    <col min="6" max="10" width="6.83203125" style="1" customWidth="1"/>
    <col min="11" max="11" width="10.83203125" style="2"/>
    <col min="12" max="12" width="13.5" style="5" customWidth="1"/>
  </cols>
  <sheetData>
    <row r="1" spans="1:13" x14ac:dyDescent="0.2">
      <c r="A1" t="s">
        <v>0</v>
      </c>
      <c r="B1" t="s">
        <v>1</v>
      </c>
      <c r="C1" t="s">
        <v>22</v>
      </c>
      <c r="D1" t="s">
        <v>23</v>
      </c>
      <c r="E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2" t="s">
        <v>24</v>
      </c>
    </row>
    <row r="2" spans="1:13" x14ac:dyDescent="0.2">
      <c r="A2" t="s">
        <v>8</v>
      </c>
      <c r="B2" t="s">
        <v>9</v>
      </c>
      <c r="E2">
        <v>170</v>
      </c>
      <c r="F2" s="1">
        <v>2.0670500000000001E-4</v>
      </c>
      <c r="G2" s="1">
        <v>7.6767900000000001E-5</v>
      </c>
      <c r="H2" s="1">
        <v>3.3884200000000001E-4</v>
      </c>
      <c r="I2" s="1">
        <v>1.42292E-4</v>
      </c>
      <c r="J2" s="1">
        <v>3.6009900000000001E-4</v>
      </c>
      <c r="K2" s="2">
        <v>0.57402200000000003</v>
      </c>
    </row>
    <row r="3" spans="1:13" x14ac:dyDescent="0.2">
      <c r="A3" t="s">
        <v>8</v>
      </c>
      <c r="B3" t="s">
        <v>10</v>
      </c>
      <c r="E3">
        <v>170</v>
      </c>
      <c r="F3" s="1">
        <v>8.8699799999999995E-2</v>
      </c>
      <c r="G3" s="1">
        <v>1.9523499999999999E-2</v>
      </c>
      <c r="H3" s="1">
        <v>0.120522</v>
      </c>
      <c r="I3" s="1">
        <v>2.7013800000000001E-2</v>
      </c>
      <c r="J3" s="1">
        <v>0.13097500000000001</v>
      </c>
      <c r="K3" s="2">
        <v>0.67722599999999999</v>
      </c>
    </row>
    <row r="4" spans="1:13" x14ac:dyDescent="0.2">
      <c r="A4" t="s">
        <v>8</v>
      </c>
      <c r="B4" t="s">
        <v>11</v>
      </c>
      <c r="E4">
        <v>170</v>
      </c>
      <c r="F4" s="1">
        <v>7.8400200000000003E-2</v>
      </c>
      <c r="G4" s="1">
        <v>3.7958499999999999E-2</v>
      </c>
      <c r="H4" s="1">
        <v>0.14683099999999999</v>
      </c>
      <c r="I4" s="1">
        <v>5.9705000000000001E-2</v>
      </c>
      <c r="J4" s="1">
        <v>0.151559</v>
      </c>
      <c r="K4" s="2">
        <v>0.517293</v>
      </c>
    </row>
    <row r="5" spans="1:13" x14ac:dyDescent="0.2">
      <c r="A5" t="s">
        <v>8</v>
      </c>
      <c r="B5" t="s">
        <v>12</v>
      </c>
      <c r="E5">
        <v>170</v>
      </c>
      <c r="F5" s="1">
        <v>1.42445E-4</v>
      </c>
      <c r="G5" s="1">
        <v>7.49352E-5</v>
      </c>
      <c r="H5" s="1">
        <v>2.7622900000000001E-4</v>
      </c>
      <c r="I5" s="1">
        <v>1.4228900000000001E-4</v>
      </c>
      <c r="J5" s="1">
        <v>2.9401900000000002E-4</v>
      </c>
      <c r="K5" s="2">
        <v>0.48447600000000002</v>
      </c>
    </row>
    <row r="6" spans="1:13" x14ac:dyDescent="0.2">
      <c r="A6" t="s">
        <v>8</v>
      </c>
      <c r="B6" t="s">
        <v>13</v>
      </c>
      <c r="E6">
        <v>170</v>
      </c>
      <c r="F6" s="1">
        <v>4.7350499999999997E-2</v>
      </c>
      <c r="G6" s="1">
        <v>1.3906200000000001E-2</v>
      </c>
      <c r="H6" s="1">
        <v>6.8956400000000001E-2</v>
      </c>
      <c r="I6" s="1">
        <v>2.0774600000000001E-2</v>
      </c>
      <c r="J6" s="1">
        <v>0.11380899999999999</v>
      </c>
      <c r="K6" s="2">
        <v>0.41605300000000001</v>
      </c>
    </row>
    <row r="7" spans="1:13" x14ac:dyDescent="0.2">
      <c r="A7" t="s">
        <v>8</v>
      </c>
      <c r="B7" t="s">
        <v>14</v>
      </c>
      <c r="E7">
        <v>170</v>
      </c>
      <c r="F7" s="1">
        <v>6.5895800000000004E-2</v>
      </c>
      <c r="G7" s="1">
        <v>2.1533299999999998E-2</v>
      </c>
      <c r="H7" s="1">
        <v>9.6545199999999998E-2</v>
      </c>
      <c r="I7" s="1">
        <v>3.9137699999999997E-2</v>
      </c>
      <c r="J7" s="1">
        <v>9.8701200000000003E-2</v>
      </c>
      <c r="K7" s="2">
        <v>0.66762900000000003</v>
      </c>
    </row>
    <row r="8" spans="1:13" x14ac:dyDescent="0.2">
      <c r="A8" t="s">
        <v>8</v>
      </c>
      <c r="B8" t="s">
        <v>15</v>
      </c>
      <c r="E8">
        <v>170</v>
      </c>
      <c r="F8" s="1">
        <v>1.5903299999999999E-4</v>
      </c>
      <c r="G8" s="1">
        <v>7.2791299999999995E-5</v>
      </c>
      <c r="H8" s="1">
        <v>2.7910400000000002E-4</v>
      </c>
      <c r="I8" s="1">
        <v>1.3507300000000001E-4</v>
      </c>
      <c r="J8" s="1">
        <v>2.9131600000000001E-4</v>
      </c>
      <c r="K8" s="2">
        <v>0.54591299999999998</v>
      </c>
      <c r="M8" s="16">
        <f>AVERAGE(K2:K8)</f>
        <v>0.55465885714285712</v>
      </c>
    </row>
    <row r="9" spans="1:13" s="6" customFormat="1" x14ac:dyDescent="0.2">
      <c r="A9" s="6" t="s">
        <v>16</v>
      </c>
      <c r="B9" s="6" t="s">
        <v>9</v>
      </c>
      <c r="E9" s="6">
        <v>170</v>
      </c>
      <c r="F9" s="7">
        <v>2.1369299999999999E-4</v>
      </c>
      <c r="G9" s="7">
        <v>7.8388300000000003E-5</v>
      </c>
      <c r="H9" s="7">
        <v>3.55151E-4</v>
      </c>
      <c r="I9" s="7">
        <v>1.4323100000000001E-4</v>
      </c>
      <c r="J9" s="7">
        <v>3.6009900000000001E-4</v>
      </c>
      <c r="K9" s="8">
        <v>0.59342700000000004</v>
      </c>
      <c r="L9" s="9"/>
    </row>
    <row r="10" spans="1:13" x14ac:dyDescent="0.2">
      <c r="A10" t="s">
        <v>16</v>
      </c>
      <c r="B10" t="s">
        <v>10</v>
      </c>
      <c r="E10">
        <v>170</v>
      </c>
      <c r="F10" s="1">
        <v>9.36086E-2</v>
      </c>
      <c r="G10" s="1">
        <v>2.0048799999999999E-2</v>
      </c>
      <c r="H10" s="1">
        <v>0.127585</v>
      </c>
      <c r="I10" s="1">
        <v>2.7781699999999999E-2</v>
      </c>
      <c r="J10" s="1">
        <v>0.13097500000000001</v>
      </c>
      <c r="K10" s="2">
        <v>0.71470500000000003</v>
      </c>
    </row>
    <row r="11" spans="1:13" x14ac:dyDescent="0.2">
      <c r="A11" t="s">
        <v>16</v>
      </c>
      <c r="B11" t="s">
        <v>11</v>
      </c>
      <c r="E11">
        <v>170</v>
      </c>
      <c r="F11" s="1">
        <v>8.0451999999999996E-2</v>
      </c>
      <c r="G11" s="1">
        <v>3.9333699999999999E-2</v>
      </c>
      <c r="H11" s="1">
        <v>0.15476799999999999</v>
      </c>
      <c r="I11" s="1">
        <v>6.1657099999999999E-2</v>
      </c>
      <c r="J11" s="1">
        <v>0.151559</v>
      </c>
      <c r="K11" s="2">
        <v>0.53083100000000005</v>
      </c>
    </row>
    <row r="12" spans="1:13" x14ac:dyDescent="0.2">
      <c r="A12" t="s">
        <v>16</v>
      </c>
      <c r="B12" t="s">
        <v>12</v>
      </c>
      <c r="E12">
        <v>170</v>
      </c>
      <c r="F12" s="1">
        <v>1.4504599999999999E-4</v>
      </c>
      <c r="G12" s="1">
        <v>7.7896200000000001E-5</v>
      </c>
      <c r="H12" s="1">
        <v>2.89797E-4</v>
      </c>
      <c r="I12" s="1">
        <v>1.4598899999999999E-4</v>
      </c>
      <c r="J12" s="1">
        <v>2.9401900000000002E-4</v>
      </c>
      <c r="K12" s="2">
        <v>0.49332100000000001</v>
      </c>
    </row>
    <row r="13" spans="1:13" x14ac:dyDescent="0.2">
      <c r="A13" t="s">
        <v>16</v>
      </c>
      <c r="B13" t="s">
        <v>13</v>
      </c>
      <c r="E13">
        <v>170</v>
      </c>
      <c r="F13" s="1">
        <v>4.9463199999999999E-2</v>
      </c>
      <c r="G13" s="1">
        <v>1.44169E-2</v>
      </c>
      <c r="H13" s="1">
        <v>7.22719E-2</v>
      </c>
      <c r="I13" s="1">
        <v>2.16119E-2</v>
      </c>
      <c r="J13" s="1">
        <v>0.11380899999999999</v>
      </c>
      <c r="K13" s="2">
        <v>0.434616</v>
      </c>
    </row>
    <row r="14" spans="1:13" x14ac:dyDescent="0.2">
      <c r="A14" t="s">
        <v>16</v>
      </c>
      <c r="B14" t="s">
        <v>14</v>
      </c>
      <c r="E14">
        <v>170</v>
      </c>
      <c r="F14" s="1">
        <v>6.8845400000000001E-2</v>
      </c>
      <c r="G14" s="1">
        <v>2.2617600000000002E-2</v>
      </c>
      <c r="H14" s="1">
        <v>0.101606</v>
      </c>
      <c r="I14" s="1">
        <v>4.0446900000000001E-2</v>
      </c>
      <c r="J14" s="1">
        <v>9.8701200000000003E-2</v>
      </c>
      <c r="K14" s="2">
        <v>0.69751399999999997</v>
      </c>
    </row>
    <row r="15" spans="1:13" x14ac:dyDescent="0.2">
      <c r="A15" t="s">
        <v>16</v>
      </c>
      <c r="B15" t="s">
        <v>15</v>
      </c>
      <c r="E15">
        <v>170</v>
      </c>
      <c r="F15" s="1">
        <v>1.6385799999999999E-4</v>
      </c>
      <c r="G15" s="1">
        <v>7.6171800000000001E-5</v>
      </c>
      <c r="H15" s="1">
        <v>2.93085E-4</v>
      </c>
      <c r="I15" s="1">
        <v>1.40187E-4</v>
      </c>
      <c r="J15" s="1">
        <v>2.9131600000000001E-4</v>
      </c>
      <c r="K15" s="2">
        <v>0.56247599999999998</v>
      </c>
      <c r="M15" s="16">
        <f>AVERAGE(K9:K15)</f>
        <v>0.57526999999999995</v>
      </c>
    </row>
    <row r="16" spans="1:13" s="6" customFormat="1" x14ac:dyDescent="0.2">
      <c r="A16" s="6" t="s">
        <v>17</v>
      </c>
      <c r="B16" s="6" t="s">
        <v>9</v>
      </c>
      <c r="E16" s="6">
        <v>170</v>
      </c>
      <c r="F16" s="7">
        <v>2.4722600000000002E-4</v>
      </c>
      <c r="G16" s="7">
        <v>8.4927599999999996E-5</v>
      </c>
      <c r="H16" s="7">
        <v>3.59534E-4</v>
      </c>
      <c r="I16" s="7">
        <v>1.6036800000000001E-4</v>
      </c>
      <c r="J16" s="7">
        <v>3.6009900000000001E-4</v>
      </c>
      <c r="K16" s="8">
        <v>0.68654899999999996</v>
      </c>
      <c r="L16" s="9"/>
    </row>
    <row r="17" spans="1:13" x14ac:dyDescent="0.2">
      <c r="A17" t="s">
        <v>17</v>
      </c>
      <c r="B17" t="s">
        <v>10</v>
      </c>
      <c r="E17">
        <v>170</v>
      </c>
      <c r="F17" s="1">
        <v>0.102242</v>
      </c>
      <c r="G17" s="1">
        <v>1.8283799999999999E-2</v>
      </c>
      <c r="H17" s="1">
        <v>0.13000200000000001</v>
      </c>
      <c r="I17" s="1">
        <v>2.22638E-2</v>
      </c>
      <c r="J17" s="1">
        <v>0.13097500000000001</v>
      </c>
      <c r="K17" s="2">
        <v>0.78061999999999998</v>
      </c>
    </row>
    <row r="18" spans="1:13" x14ac:dyDescent="0.2">
      <c r="A18" t="s">
        <v>17</v>
      </c>
      <c r="B18" t="s">
        <v>11</v>
      </c>
      <c r="E18">
        <v>170</v>
      </c>
      <c r="F18" s="1">
        <v>0.10306999999999999</v>
      </c>
      <c r="G18" s="1">
        <v>3.9936800000000001E-2</v>
      </c>
      <c r="H18" s="1">
        <v>0.14810400000000001</v>
      </c>
      <c r="I18" s="1">
        <v>7.3958200000000002E-2</v>
      </c>
      <c r="J18" s="1">
        <v>0.151559</v>
      </c>
      <c r="K18" s="2">
        <v>0.68006999999999995</v>
      </c>
    </row>
    <row r="19" spans="1:13" x14ac:dyDescent="0.2">
      <c r="A19" t="s">
        <v>17</v>
      </c>
      <c r="B19" t="s">
        <v>12</v>
      </c>
      <c r="E19">
        <v>170</v>
      </c>
      <c r="F19" s="1">
        <v>1.8008600000000001E-4</v>
      </c>
      <c r="G19" s="1">
        <v>8.0967800000000001E-5</v>
      </c>
      <c r="H19" s="1">
        <v>2.8023300000000001E-4</v>
      </c>
      <c r="I19" s="1">
        <v>1.5905300000000001E-4</v>
      </c>
      <c r="J19" s="1">
        <v>2.9401900000000002E-4</v>
      </c>
      <c r="K19" s="2">
        <v>0.61249699999999996</v>
      </c>
    </row>
    <row r="20" spans="1:13" x14ac:dyDescent="0.2">
      <c r="A20" t="s">
        <v>17</v>
      </c>
      <c r="B20" t="s">
        <v>13</v>
      </c>
      <c r="E20">
        <v>170</v>
      </c>
      <c r="F20" s="1">
        <v>7.5228000000000003E-2</v>
      </c>
      <c r="G20" s="1">
        <v>1.35058E-2</v>
      </c>
      <c r="H20" s="1">
        <v>9.3010499999999996E-2</v>
      </c>
      <c r="I20" s="1">
        <v>1.5917500000000001E-2</v>
      </c>
      <c r="J20" s="1">
        <v>0.11380899999999999</v>
      </c>
      <c r="K20" s="2">
        <v>0.66100400000000004</v>
      </c>
    </row>
    <row r="21" spans="1:13" x14ac:dyDescent="0.2">
      <c r="A21" t="s">
        <v>17</v>
      </c>
      <c r="B21" t="s">
        <v>14</v>
      </c>
      <c r="E21">
        <v>170</v>
      </c>
      <c r="F21" s="1">
        <v>6.9648699999999994E-2</v>
      </c>
      <c r="G21" s="1">
        <v>1.9776800000000001E-2</v>
      </c>
      <c r="H21" s="1">
        <v>9.6355499999999997E-2</v>
      </c>
      <c r="I21" s="1">
        <v>3.7952800000000002E-2</v>
      </c>
      <c r="J21" s="1">
        <v>9.8701200000000003E-2</v>
      </c>
      <c r="K21" s="2">
        <v>0.70565199999999995</v>
      </c>
    </row>
    <row r="22" spans="1:13" x14ac:dyDescent="0.2">
      <c r="A22" t="s">
        <v>17</v>
      </c>
      <c r="B22" t="s">
        <v>15</v>
      </c>
      <c r="E22">
        <v>170</v>
      </c>
      <c r="F22" s="1">
        <v>1.81853E-4</v>
      </c>
      <c r="G22" s="1">
        <v>7.7987799999999999E-5</v>
      </c>
      <c r="H22" s="1">
        <v>2.7981600000000001E-4</v>
      </c>
      <c r="I22" s="1">
        <v>1.4477500000000001E-4</v>
      </c>
      <c r="J22" s="1">
        <v>2.9131600000000001E-4</v>
      </c>
      <c r="K22" s="2">
        <v>0.624247</v>
      </c>
      <c r="M22" s="16">
        <f>AVERAGE(K16:K22)</f>
        <v>0.67866271428571423</v>
      </c>
    </row>
    <row r="23" spans="1:13" s="6" customFormat="1" x14ac:dyDescent="0.2">
      <c r="A23" s="6" t="s">
        <v>18</v>
      </c>
      <c r="B23" s="6" t="s">
        <v>9</v>
      </c>
      <c r="E23" s="6">
        <v>170</v>
      </c>
      <c r="F23" s="7">
        <v>2.42585E-4</v>
      </c>
      <c r="G23" s="7">
        <v>8.4651099999999993E-5</v>
      </c>
      <c r="H23" s="7">
        <v>3.6104399999999998E-4</v>
      </c>
      <c r="I23" s="7">
        <v>1.59555E-4</v>
      </c>
      <c r="J23" s="7">
        <v>3.6009900000000001E-4</v>
      </c>
      <c r="K23" s="8">
        <v>0.67366099999999995</v>
      </c>
      <c r="L23" s="9"/>
    </row>
    <row r="24" spans="1:13" x14ac:dyDescent="0.2">
      <c r="A24" t="s">
        <v>18</v>
      </c>
      <c r="B24" t="s">
        <v>10</v>
      </c>
      <c r="E24">
        <v>170</v>
      </c>
      <c r="F24" s="1">
        <v>0.103379</v>
      </c>
      <c r="G24" s="1">
        <v>1.8196899999999998E-2</v>
      </c>
      <c r="H24" s="1">
        <v>0.130081</v>
      </c>
      <c r="I24" s="1">
        <v>2.2149599999999998E-2</v>
      </c>
      <c r="J24" s="1">
        <v>0.13097500000000001</v>
      </c>
      <c r="K24" s="2">
        <v>0.78930299999999998</v>
      </c>
    </row>
    <row r="25" spans="1:13" x14ac:dyDescent="0.2">
      <c r="A25" t="s">
        <v>18</v>
      </c>
      <c r="B25" t="s">
        <v>11</v>
      </c>
      <c r="E25">
        <v>170</v>
      </c>
      <c r="F25" s="1">
        <v>0.10502400000000001</v>
      </c>
      <c r="G25" s="1">
        <v>3.9615699999999997E-2</v>
      </c>
      <c r="H25" s="1">
        <v>0.14868000000000001</v>
      </c>
      <c r="I25" s="1">
        <v>7.2412599999999994E-2</v>
      </c>
      <c r="J25" s="1">
        <v>0.151559</v>
      </c>
      <c r="K25" s="2">
        <v>0.69295700000000005</v>
      </c>
    </row>
    <row r="26" spans="1:13" x14ac:dyDescent="0.2">
      <c r="A26" t="s">
        <v>18</v>
      </c>
      <c r="B26" t="s">
        <v>12</v>
      </c>
      <c r="E26">
        <v>170</v>
      </c>
      <c r="F26" s="1">
        <v>1.7648699999999999E-4</v>
      </c>
      <c r="G26" s="1">
        <v>8.0476199999999994E-5</v>
      </c>
      <c r="H26" s="1">
        <v>2.8111899999999998E-4</v>
      </c>
      <c r="I26" s="1">
        <v>1.5775199999999999E-4</v>
      </c>
      <c r="J26" s="1">
        <v>2.9401900000000002E-4</v>
      </c>
      <c r="K26" s="2">
        <v>0.60025600000000001</v>
      </c>
    </row>
    <row r="27" spans="1:13" x14ac:dyDescent="0.2">
      <c r="A27" t="s">
        <v>18</v>
      </c>
      <c r="B27" t="s">
        <v>13</v>
      </c>
      <c r="E27">
        <v>170</v>
      </c>
      <c r="F27" s="1">
        <v>8.5409399999999996E-2</v>
      </c>
      <c r="G27" s="1">
        <v>1.5226699999999999E-2</v>
      </c>
      <c r="H27" s="1">
        <v>0.103602</v>
      </c>
      <c r="I27" s="1">
        <v>1.9025799999999999E-2</v>
      </c>
      <c r="J27" s="1">
        <v>0.11380899999999999</v>
      </c>
      <c r="K27" s="2">
        <v>0.75046400000000002</v>
      </c>
    </row>
    <row r="28" spans="1:13" x14ac:dyDescent="0.2">
      <c r="A28" t="s">
        <v>18</v>
      </c>
      <c r="B28" t="s">
        <v>14</v>
      </c>
      <c r="E28">
        <v>170</v>
      </c>
      <c r="F28" s="1">
        <v>7.2186100000000003E-2</v>
      </c>
      <c r="G28" s="1">
        <v>1.9662200000000001E-2</v>
      </c>
      <c r="H28" s="1">
        <v>9.8434800000000003E-2</v>
      </c>
      <c r="I28" s="1">
        <v>3.6488199999999998E-2</v>
      </c>
      <c r="J28" s="1">
        <v>9.8701200000000003E-2</v>
      </c>
      <c r="K28" s="2">
        <v>0.73136000000000001</v>
      </c>
    </row>
    <row r="29" spans="1:13" x14ac:dyDescent="0.2">
      <c r="A29" t="s">
        <v>18</v>
      </c>
      <c r="B29" t="s">
        <v>15</v>
      </c>
      <c r="E29">
        <v>170</v>
      </c>
      <c r="F29" s="1">
        <v>1.8271100000000001E-4</v>
      </c>
      <c r="G29" s="1">
        <v>7.7017500000000006E-5</v>
      </c>
      <c r="H29" s="1">
        <v>2.8024799999999998E-4</v>
      </c>
      <c r="I29" s="1">
        <v>1.43187E-4</v>
      </c>
      <c r="J29" s="1">
        <v>2.9131600000000001E-4</v>
      </c>
      <c r="K29" s="2">
        <v>0.62719100000000005</v>
      </c>
      <c r="M29" s="16">
        <f>AVERAGE(K23:K29)</f>
        <v>0.69502742857142863</v>
      </c>
    </row>
    <row r="30" spans="1:13" s="6" customFormat="1" x14ac:dyDescent="0.2">
      <c r="A30" s="6" t="s">
        <v>19</v>
      </c>
      <c r="B30" s="6" t="s">
        <v>9</v>
      </c>
      <c r="E30" s="6">
        <v>170</v>
      </c>
      <c r="F30" s="7">
        <v>2.3456400000000001E-4</v>
      </c>
      <c r="G30" s="7">
        <v>9.3085100000000001E-5</v>
      </c>
      <c r="H30" s="7">
        <v>3.6178799999999999E-4</v>
      </c>
      <c r="I30" s="7">
        <v>1.72308E-4</v>
      </c>
      <c r="J30" s="7">
        <v>3.6009900000000001E-4</v>
      </c>
      <c r="K30" s="8">
        <v>0.65138600000000002</v>
      </c>
      <c r="L30" s="9"/>
    </row>
    <row r="31" spans="1:13" x14ac:dyDescent="0.2">
      <c r="A31" t="s">
        <v>19</v>
      </c>
      <c r="B31" t="s">
        <v>10</v>
      </c>
      <c r="E31">
        <v>170</v>
      </c>
      <c r="F31" s="1">
        <v>0.102771</v>
      </c>
      <c r="G31" s="1">
        <v>1.9347099999999999E-2</v>
      </c>
      <c r="H31" s="1">
        <v>0.13053899999999999</v>
      </c>
      <c r="I31" s="1">
        <v>2.3948799999999999E-2</v>
      </c>
      <c r="J31" s="1">
        <v>0.13097500000000001</v>
      </c>
      <c r="K31" s="2">
        <v>0.78466199999999997</v>
      </c>
    </row>
    <row r="32" spans="1:13" x14ac:dyDescent="0.2">
      <c r="A32" t="s">
        <v>19</v>
      </c>
      <c r="B32" t="s">
        <v>11</v>
      </c>
      <c r="E32">
        <v>170</v>
      </c>
      <c r="F32" s="1">
        <v>8.1856100000000001E-2</v>
      </c>
      <c r="G32" s="1">
        <v>5.40075E-2</v>
      </c>
      <c r="H32" s="1">
        <v>0.15357799999999999</v>
      </c>
      <c r="I32" s="1">
        <v>9.0076400000000001E-2</v>
      </c>
      <c r="J32" s="1">
        <v>0.151559</v>
      </c>
      <c r="K32" s="2">
        <v>0.54009600000000002</v>
      </c>
    </row>
    <row r="33" spans="1:13" x14ac:dyDescent="0.2">
      <c r="A33" t="s">
        <v>19</v>
      </c>
      <c r="B33" t="s">
        <v>12</v>
      </c>
      <c r="E33">
        <v>170</v>
      </c>
      <c r="F33" s="1">
        <v>1.6381499999999999E-4</v>
      </c>
      <c r="G33" s="1">
        <v>8.8961099999999998E-5</v>
      </c>
      <c r="H33" s="1">
        <v>2.7779900000000001E-4</v>
      </c>
      <c r="I33" s="1">
        <v>1.7171600000000001E-4</v>
      </c>
      <c r="J33" s="1">
        <v>2.9401900000000002E-4</v>
      </c>
      <c r="K33" s="2">
        <v>0.55715700000000001</v>
      </c>
    </row>
    <row r="34" spans="1:13" x14ac:dyDescent="0.2">
      <c r="A34" t="s">
        <v>19</v>
      </c>
      <c r="B34" t="s">
        <v>13</v>
      </c>
      <c r="E34">
        <v>170</v>
      </c>
      <c r="F34" s="1">
        <v>8.32368E-2</v>
      </c>
      <c r="G34" s="1">
        <v>2.0086099999999999E-2</v>
      </c>
      <c r="H34" s="1">
        <v>0.106132</v>
      </c>
      <c r="I34" s="1">
        <v>2.52994E-2</v>
      </c>
      <c r="J34" s="1">
        <v>0.11380899999999999</v>
      </c>
      <c r="K34" s="2">
        <v>0.73137399999999997</v>
      </c>
    </row>
    <row r="35" spans="1:13" x14ac:dyDescent="0.2">
      <c r="A35" t="s">
        <v>19</v>
      </c>
      <c r="B35" t="s">
        <v>14</v>
      </c>
      <c r="E35">
        <v>170</v>
      </c>
      <c r="F35" s="1">
        <v>6.9644600000000001E-2</v>
      </c>
      <c r="G35" s="1">
        <v>2.1399499999999998E-2</v>
      </c>
      <c r="H35" s="1">
        <v>9.9340499999999998E-2</v>
      </c>
      <c r="I35" s="1">
        <v>3.99254E-2</v>
      </c>
      <c r="J35" s="1">
        <v>9.8701200000000003E-2</v>
      </c>
      <c r="K35" s="2">
        <v>0.70561099999999999</v>
      </c>
    </row>
    <row r="36" spans="1:13" x14ac:dyDescent="0.2">
      <c r="A36" t="s">
        <v>19</v>
      </c>
      <c r="B36" t="s">
        <v>15</v>
      </c>
      <c r="E36">
        <v>170</v>
      </c>
      <c r="F36" s="1">
        <v>1.7550899999999999E-4</v>
      </c>
      <c r="G36" s="1">
        <v>8.2104199999999999E-5</v>
      </c>
      <c r="H36" s="1">
        <v>2.77812E-4</v>
      </c>
      <c r="I36" s="1">
        <v>1.5361699999999999E-4</v>
      </c>
      <c r="J36" s="1">
        <v>2.9131600000000001E-4</v>
      </c>
      <c r="K36" s="2">
        <v>0.60247099999999998</v>
      </c>
      <c r="M36" s="16">
        <f>AVERAGE(K30:K36)</f>
        <v>0.65325100000000014</v>
      </c>
    </row>
    <row r="37" spans="1:13" s="6" customFormat="1" x14ac:dyDescent="0.2">
      <c r="A37" s="6" t="s">
        <v>20</v>
      </c>
      <c r="B37" s="6" t="s">
        <v>9</v>
      </c>
      <c r="E37" s="6">
        <v>170</v>
      </c>
      <c r="F37" s="7">
        <v>2.2216200000000001E-4</v>
      </c>
      <c r="G37" s="7">
        <v>8.3122999999999997E-5</v>
      </c>
      <c r="H37" s="7">
        <v>3.7526600000000002E-4</v>
      </c>
      <c r="I37" s="7">
        <v>1.77333E-4</v>
      </c>
      <c r="J37" s="7">
        <v>3.6009900000000001E-4</v>
      </c>
      <c r="K37" s="8">
        <v>0.61694599999999999</v>
      </c>
      <c r="L37" s="9"/>
    </row>
    <row r="38" spans="1:13" x14ac:dyDescent="0.2">
      <c r="A38" t="s">
        <v>20</v>
      </c>
      <c r="B38" t="s">
        <v>10</v>
      </c>
      <c r="E38">
        <v>170</v>
      </c>
      <c r="F38" s="1">
        <v>9.5261999999999999E-2</v>
      </c>
      <c r="G38" s="1">
        <v>2.1907200000000002E-2</v>
      </c>
      <c r="H38" s="1">
        <v>0.130575</v>
      </c>
      <c r="I38" s="1">
        <v>3.04823E-2</v>
      </c>
      <c r="J38" s="1">
        <v>0.13097500000000001</v>
      </c>
      <c r="K38" s="2">
        <v>0.72732799999999997</v>
      </c>
    </row>
    <row r="39" spans="1:13" x14ac:dyDescent="0.2">
      <c r="A39" t="s">
        <v>20</v>
      </c>
      <c r="B39" t="s">
        <v>11</v>
      </c>
      <c r="E39">
        <v>170</v>
      </c>
      <c r="F39" s="1">
        <v>9.1463600000000006E-2</v>
      </c>
      <c r="G39" s="1">
        <v>3.8968999999999997E-2</v>
      </c>
      <c r="H39" s="1">
        <v>0.16619300000000001</v>
      </c>
      <c r="I39" s="1">
        <v>7.2130200000000005E-2</v>
      </c>
      <c r="J39" s="1">
        <v>0.151559</v>
      </c>
      <c r="K39" s="2">
        <v>0.603487</v>
      </c>
    </row>
    <row r="40" spans="1:13" x14ac:dyDescent="0.2">
      <c r="A40" t="s">
        <v>20</v>
      </c>
      <c r="B40" t="s">
        <v>12</v>
      </c>
      <c r="E40">
        <v>170</v>
      </c>
      <c r="F40" s="1">
        <v>1.6838000000000001E-4</v>
      </c>
      <c r="G40" s="1">
        <v>7.3339500000000005E-5</v>
      </c>
      <c r="H40" s="1">
        <v>3.1346E-4</v>
      </c>
      <c r="I40" s="1">
        <v>1.4749899999999999E-4</v>
      </c>
      <c r="J40" s="1">
        <v>2.9401900000000002E-4</v>
      </c>
      <c r="K40" s="2">
        <v>0.572685</v>
      </c>
    </row>
    <row r="41" spans="1:13" x14ac:dyDescent="0.2">
      <c r="A41" t="s">
        <v>20</v>
      </c>
      <c r="B41" t="s">
        <v>13</v>
      </c>
      <c r="E41">
        <v>170</v>
      </c>
      <c r="F41" s="1">
        <v>5.2092899999999998E-2</v>
      </c>
      <c r="G41" s="1">
        <v>1.47128E-2</v>
      </c>
      <c r="H41" s="1">
        <v>7.6489500000000002E-2</v>
      </c>
      <c r="I41" s="1">
        <v>2.34475E-2</v>
      </c>
      <c r="J41" s="1">
        <v>0.11380899999999999</v>
      </c>
      <c r="K41" s="2">
        <v>0.45772299999999999</v>
      </c>
    </row>
    <row r="42" spans="1:13" x14ac:dyDescent="0.2">
      <c r="A42" t="s">
        <v>20</v>
      </c>
      <c r="B42" t="s">
        <v>14</v>
      </c>
      <c r="E42">
        <v>170</v>
      </c>
      <c r="F42" s="1">
        <v>7.4363799999999994E-2</v>
      </c>
      <c r="G42" s="1">
        <v>2.4225099999999999E-2</v>
      </c>
      <c r="H42" s="1">
        <v>0.112862</v>
      </c>
      <c r="I42" s="1">
        <v>4.6166199999999998E-2</v>
      </c>
      <c r="J42" s="1">
        <v>9.8701200000000003E-2</v>
      </c>
      <c r="K42" s="2">
        <v>0.75342399999999998</v>
      </c>
    </row>
    <row r="43" spans="1:13" x14ac:dyDescent="0.2">
      <c r="A43" t="s">
        <v>20</v>
      </c>
      <c r="B43" t="s">
        <v>15</v>
      </c>
      <c r="E43">
        <v>170</v>
      </c>
      <c r="F43" s="1">
        <v>1.8372000000000001E-4</v>
      </c>
      <c r="G43" s="1">
        <v>7.0994099999999998E-5</v>
      </c>
      <c r="H43" s="1">
        <v>3.1496699999999998E-4</v>
      </c>
      <c r="I43" s="1">
        <v>1.3248900000000001E-4</v>
      </c>
      <c r="J43" s="1">
        <v>2.9131600000000001E-4</v>
      </c>
      <c r="K43" s="2">
        <v>0.63065599999999999</v>
      </c>
      <c r="M43" s="16">
        <f>AVERAGE(K37:K43)</f>
        <v>0.62317842857142847</v>
      </c>
    </row>
    <row r="44" spans="1:13" s="6" customFormat="1" x14ac:dyDescent="0.2">
      <c r="A44" s="6" t="s">
        <v>21</v>
      </c>
      <c r="B44" s="6" t="s">
        <v>9</v>
      </c>
      <c r="C44" s="6">
        <v>500</v>
      </c>
      <c r="D44" s="6">
        <v>30</v>
      </c>
      <c r="E44" s="6">
        <v>170</v>
      </c>
      <c r="F44" s="7">
        <v>2.02387E-4</v>
      </c>
      <c r="G44" s="7">
        <v>7.4768600000000001E-5</v>
      </c>
      <c r="H44" s="7">
        <v>3.2613599999999998E-4</v>
      </c>
      <c r="I44" s="7">
        <v>1.4842699999999999E-4</v>
      </c>
      <c r="J44" s="7">
        <v>3.6009900000000001E-4</v>
      </c>
      <c r="K44" s="8">
        <v>0.56203199999999998</v>
      </c>
      <c r="L44" s="9"/>
    </row>
    <row r="45" spans="1:13" x14ac:dyDescent="0.2">
      <c r="A45" t="s">
        <v>21</v>
      </c>
      <c r="B45" t="s">
        <v>10</v>
      </c>
      <c r="C45">
        <v>500</v>
      </c>
      <c r="D45">
        <v>30</v>
      </c>
      <c r="E45">
        <v>170</v>
      </c>
      <c r="F45" s="1">
        <v>8.6271100000000003E-2</v>
      </c>
      <c r="G45" s="1">
        <v>1.8402999999999999E-2</v>
      </c>
      <c r="H45" s="1">
        <v>0.11633499999999999</v>
      </c>
      <c r="I45" s="1">
        <v>2.5173399999999999E-2</v>
      </c>
      <c r="J45" s="1">
        <v>0.13097500000000001</v>
      </c>
      <c r="K45" s="2">
        <v>0.65868199999999999</v>
      </c>
    </row>
    <row r="46" spans="1:13" x14ac:dyDescent="0.2">
      <c r="A46" t="s">
        <v>21</v>
      </c>
      <c r="B46" t="s">
        <v>11</v>
      </c>
      <c r="C46">
        <v>500</v>
      </c>
      <c r="D46">
        <v>30</v>
      </c>
      <c r="E46">
        <v>170</v>
      </c>
      <c r="F46" s="1">
        <v>8.0942500000000001E-2</v>
      </c>
      <c r="G46" s="1">
        <v>3.65206E-2</v>
      </c>
      <c r="H46" s="1">
        <v>0.13849800000000001</v>
      </c>
      <c r="I46" s="1">
        <v>6.1339600000000001E-2</v>
      </c>
      <c r="J46" s="1">
        <v>0.151559</v>
      </c>
      <c r="K46" s="2">
        <v>0.53406699999999996</v>
      </c>
    </row>
    <row r="47" spans="1:13" x14ac:dyDescent="0.2">
      <c r="A47" t="s">
        <v>21</v>
      </c>
      <c r="B47" t="s">
        <v>12</v>
      </c>
      <c r="C47">
        <v>500</v>
      </c>
      <c r="D47">
        <v>30</v>
      </c>
      <c r="E47">
        <v>170</v>
      </c>
      <c r="F47" s="1">
        <v>1.45926E-4</v>
      </c>
      <c r="G47" s="1">
        <v>7.0256499999999994E-5</v>
      </c>
      <c r="H47" s="1">
        <v>2.6391499999999998E-4</v>
      </c>
      <c r="I47" s="1">
        <v>1.4093100000000001E-4</v>
      </c>
      <c r="J47" s="1">
        <v>2.9401900000000002E-4</v>
      </c>
      <c r="K47" s="2">
        <v>0.49631500000000001</v>
      </c>
    </row>
    <row r="48" spans="1:13" x14ac:dyDescent="0.2">
      <c r="A48" t="s">
        <v>21</v>
      </c>
      <c r="B48" t="s">
        <v>13</v>
      </c>
      <c r="C48">
        <v>500</v>
      </c>
      <c r="D48">
        <v>30</v>
      </c>
      <c r="E48">
        <v>170</v>
      </c>
      <c r="F48" s="1">
        <v>5.1413800000000003E-2</v>
      </c>
      <c r="G48" s="1">
        <v>1.39729E-2</v>
      </c>
      <c r="H48" s="1">
        <v>7.30185E-2</v>
      </c>
      <c r="I48" s="1">
        <v>2.00789E-2</v>
      </c>
      <c r="J48" s="1">
        <v>0.11380899999999999</v>
      </c>
      <c r="K48" s="2">
        <v>0.45175599999999999</v>
      </c>
    </row>
    <row r="49" spans="1:13" x14ac:dyDescent="0.2">
      <c r="A49" t="s">
        <v>21</v>
      </c>
      <c r="B49" t="s">
        <v>14</v>
      </c>
      <c r="C49">
        <v>500</v>
      </c>
      <c r="D49">
        <v>30</v>
      </c>
      <c r="E49">
        <v>170</v>
      </c>
      <c r="F49" s="1">
        <v>6.6387100000000004E-2</v>
      </c>
      <c r="G49" s="1">
        <v>2.0563399999999999E-2</v>
      </c>
      <c r="H49" s="1">
        <v>9.6711800000000001E-2</v>
      </c>
      <c r="I49" s="1">
        <v>3.7210399999999998E-2</v>
      </c>
      <c r="J49" s="1">
        <v>9.8701200000000003E-2</v>
      </c>
      <c r="K49" s="2">
        <v>0.67260699999999995</v>
      </c>
    </row>
    <row r="50" spans="1:13" x14ac:dyDescent="0.2">
      <c r="A50" t="s">
        <v>21</v>
      </c>
      <c r="B50" t="s">
        <v>15</v>
      </c>
      <c r="C50">
        <v>500</v>
      </c>
      <c r="D50">
        <v>30</v>
      </c>
      <c r="E50">
        <v>170</v>
      </c>
      <c r="F50" s="1">
        <v>1.57894E-4</v>
      </c>
      <c r="G50" s="1">
        <v>6.7716600000000001E-5</v>
      </c>
      <c r="H50" s="1">
        <v>2.6621000000000001E-4</v>
      </c>
      <c r="I50" s="1">
        <v>1.29729E-4</v>
      </c>
      <c r="J50" s="1">
        <v>2.9131600000000001E-4</v>
      </c>
      <c r="K50" s="2">
        <v>0.54200199999999998</v>
      </c>
      <c r="M50" s="16">
        <f>AVERAGE(K44:K50)</f>
        <v>0.55963728571428573</v>
      </c>
    </row>
    <row r="51" spans="1:13" s="6" customFormat="1" x14ac:dyDescent="0.2">
      <c r="A51" s="6" t="s">
        <v>21</v>
      </c>
      <c r="B51" s="6" t="s">
        <v>9</v>
      </c>
      <c r="C51" s="6">
        <v>750</v>
      </c>
      <c r="D51" s="6">
        <v>50</v>
      </c>
      <c r="E51" s="6">
        <v>170</v>
      </c>
      <c r="F51" s="7">
        <v>2.20652E-4</v>
      </c>
      <c r="G51" s="7">
        <v>7.8273000000000001E-5</v>
      </c>
      <c r="H51" s="7">
        <v>3.4810199999999998E-4</v>
      </c>
      <c r="I51" s="7">
        <v>1.5195200000000001E-4</v>
      </c>
      <c r="J51" s="7">
        <v>3.6009900000000001E-4</v>
      </c>
      <c r="K51" s="8">
        <v>0.61275400000000002</v>
      </c>
      <c r="L51" s="9"/>
    </row>
    <row r="52" spans="1:13" x14ac:dyDescent="0.2">
      <c r="A52" t="s">
        <v>21</v>
      </c>
      <c r="B52" t="s">
        <v>10</v>
      </c>
      <c r="C52">
        <v>750</v>
      </c>
      <c r="D52">
        <v>50</v>
      </c>
      <c r="E52">
        <v>170</v>
      </c>
      <c r="F52" s="1">
        <v>9.2248800000000006E-2</v>
      </c>
      <c r="G52" s="1">
        <v>1.8626500000000001E-2</v>
      </c>
      <c r="H52" s="1">
        <v>0.12307700000000001</v>
      </c>
      <c r="I52" s="1">
        <v>2.5074200000000001E-2</v>
      </c>
      <c r="J52" s="1">
        <v>0.13097500000000001</v>
      </c>
      <c r="K52" s="2">
        <v>0.70432300000000003</v>
      </c>
    </row>
    <row r="53" spans="1:13" x14ac:dyDescent="0.2">
      <c r="A53" t="s">
        <v>21</v>
      </c>
      <c r="B53" t="s">
        <v>11</v>
      </c>
      <c r="C53">
        <v>750</v>
      </c>
      <c r="D53">
        <v>50</v>
      </c>
      <c r="E53">
        <v>170</v>
      </c>
      <c r="F53" s="1">
        <v>8.3854200000000004E-2</v>
      </c>
      <c r="G53" s="1">
        <v>3.8333899999999997E-2</v>
      </c>
      <c r="H53" s="1">
        <v>0.143014</v>
      </c>
      <c r="I53" s="1">
        <v>6.6188200000000003E-2</v>
      </c>
      <c r="J53" s="1">
        <v>0.151559</v>
      </c>
      <c r="K53" s="2">
        <v>0.55327899999999997</v>
      </c>
    </row>
    <row r="54" spans="1:13" x14ac:dyDescent="0.2">
      <c r="A54" t="s">
        <v>21</v>
      </c>
      <c r="B54" t="s">
        <v>12</v>
      </c>
      <c r="C54">
        <v>750</v>
      </c>
      <c r="D54">
        <v>50</v>
      </c>
      <c r="E54">
        <v>170</v>
      </c>
      <c r="F54" s="1">
        <v>1.52084E-4</v>
      </c>
      <c r="G54" s="1">
        <v>7.2345499999999994E-5</v>
      </c>
      <c r="H54" s="1">
        <v>2.6797099999999999E-4</v>
      </c>
      <c r="I54" s="1">
        <v>1.46744E-4</v>
      </c>
      <c r="J54" s="1">
        <v>2.9401900000000002E-4</v>
      </c>
      <c r="K54" s="2">
        <v>0.51725699999999997</v>
      </c>
    </row>
    <row r="55" spans="1:13" x14ac:dyDescent="0.2">
      <c r="A55" t="s">
        <v>21</v>
      </c>
      <c r="B55" t="s">
        <v>13</v>
      </c>
      <c r="C55">
        <v>750</v>
      </c>
      <c r="D55">
        <v>50</v>
      </c>
      <c r="E55">
        <v>170</v>
      </c>
      <c r="F55" s="1">
        <v>5.8309800000000002E-2</v>
      </c>
      <c r="G55" s="1">
        <v>1.51915E-2</v>
      </c>
      <c r="H55" s="1">
        <v>8.1813300000000005E-2</v>
      </c>
      <c r="I55" s="1">
        <v>2.1154599999999999E-2</v>
      </c>
      <c r="J55" s="1">
        <v>0.11380899999999999</v>
      </c>
      <c r="K55" s="2">
        <v>0.51234900000000005</v>
      </c>
    </row>
    <row r="56" spans="1:13" x14ac:dyDescent="0.2">
      <c r="A56" t="s">
        <v>21</v>
      </c>
      <c r="B56" t="s">
        <v>14</v>
      </c>
      <c r="C56">
        <v>750</v>
      </c>
      <c r="D56">
        <v>50</v>
      </c>
      <c r="E56">
        <v>170</v>
      </c>
      <c r="F56" s="1">
        <v>7.0049299999999995E-2</v>
      </c>
      <c r="G56" s="1">
        <v>2.1570099999999998E-2</v>
      </c>
      <c r="H56" s="1">
        <v>0.100477</v>
      </c>
      <c r="I56" s="1">
        <v>3.7941799999999998E-2</v>
      </c>
      <c r="J56" s="1">
        <v>9.8701200000000003E-2</v>
      </c>
      <c r="K56" s="2">
        <v>0.70970999999999995</v>
      </c>
    </row>
    <row r="57" spans="1:13" x14ac:dyDescent="0.2">
      <c r="A57" t="s">
        <v>21</v>
      </c>
      <c r="B57" t="s">
        <v>15</v>
      </c>
      <c r="C57">
        <v>750</v>
      </c>
      <c r="D57">
        <v>50</v>
      </c>
      <c r="E57">
        <v>170</v>
      </c>
      <c r="F57" s="1">
        <v>1.61371E-4</v>
      </c>
      <c r="G57" s="1">
        <v>6.8516099999999999E-5</v>
      </c>
      <c r="H57" s="1">
        <v>2.6713300000000002E-4</v>
      </c>
      <c r="I57" s="1">
        <v>1.3348900000000001E-4</v>
      </c>
      <c r="J57" s="1">
        <v>2.9131600000000001E-4</v>
      </c>
      <c r="K57" s="2">
        <v>0.55393899999999996</v>
      </c>
      <c r="M57" s="16">
        <f>AVERAGE(K51:K57)</f>
        <v>0.59480157142857137</v>
      </c>
    </row>
    <row r="58" spans="1:13" s="6" customFormat="1" x14ac:dyDescent="0.2">
      <c r="A58" s="6" t="s">
        <v>21</v>
      </c>
      <c r="B58" s="6" t="s">
        <v>9</v>
      </c>
      <c r="C58" s="6">
        <v>750</v>
      </c>
      <c r="D58" s="6">
        <v>20</v>
      </c>
      <c r="E58" s="6">
        <v>170</v>
      </c>
      <c r="F58" s="7">
        <v>1.99285E-4</v>
      </c>
      <c r="G58" s="7">
        <v>7.5099300000000001E-5</v>
      </c>
      <c r="H58" s="7">
        <v>3.1877799999999998E-4</v>
      </c>
      <c r="I58" s="7">
        <v>1.4830900000000001E-4</v>
      </c>
      <c r="J58" s="7">
        <v>3.6009900000000001E-4</v>
      </c>
      <c r="K58" s="8">
        <v>0.55341799999999997</v>
      </c>
      <c r="L58" s="9"/>
    </row>
    <row r="59" spans="1:13" x14ac:dyDescent="0.2">
      <c r="A59" t="s">
        <v>21</v>
      </c>
      <c r="B59" t="s">
        <v>10</v>
      </c>
      <c r="C59">
        <v>750</v>
      </c>
      <c r="D59">
        <v>20</v>
      </c>
      <c r="E59">
        <v>170</v>
      </c>
      <c r="F59" s="1">
        <v>8.4197800000000003E-2</v>
      </c>
      <c r="G59" s="1">
        <v>1.8972099999999999E-2</v>
      </c>
      <c r="H59" s="1">
        <v>0.113592</v>
      </c>
      <c r="I59" s="1">
        <v>2.66307E-2</v>
      </c>
      <c r="J59" s="1">
        <v>0.13097500000000001</v>
      </c>
      <c r="K59" s="2">
        <v>0.64285300000000001</v>
      </c>
    </row>
    <row r="60" spans="1:13" x14ac:dyDescent="0.2">
      <c r="A60" t="s">
        <v>21</v>
      </c>
      <c r="B60" t="s">
        <v>11</v>
      </c>
      <c r="C60">
        <v>750</v>
      </c>
      <c r="D60">
        <v>20</v>
      </c>
      <c r="E60">
        <v>170</v>
      </c>
      <c r="F60" s="1">
        <v>8.0294099999999993E-2</v>
      </c>
      <c r="G60" s="1">
        <v>3.6939199999999998E-2</v>
      </c>
      <c r="H60" s="1">
        <v>0.13553999999999999</v>
      </c>
      <c r="I60" s="1">
        <v>6.0644999999999998E-2</v>
      </c>
      <c r="J60" s="1">
        <v>0.151559</v>
      </c>
      <c r="K60" s="2">
        <v>0.52978899999999995</v>
      </c>
    </row>
    <row r="61" spans="1:13" x14ac:dyDescent="0.2">
      <c r="A61" t="s">
        <v>21</v>
      </c>
      <c r="B61" t="s">
        <v>12</v>
      </c>
      <c r="C61">
        <v>750</v>
      </c>
      <c r="D61">
        <v>20</v>
      </c>
      <c r="E61">
        <v>170</v>
      </c>
      <c r="F61" s="1">
        <v>1.4678200000000001E-4</v>
      </c>
      <c r="G61" s="1">
        <v>7.0605599999999994E-5</v>
      </c>
      <c r="H61" s="1">
        <v>2.6092900000000002E-4</v>
      </c>
      <c r="I61" s="1">
        <v>1.3979500000000001E-4</v>
      </c>
      <c r="J61" s="1">
        <v>2.9401900000000002E-4</v>
      </c>
      <c r="K61" s="2">
        <v>0.499226</v>
      </c>
    </row>
    <row r="62" spans="1:13" x14ac:dyDescent="0.2">
      <c r="A62" t="s">
        <v>21</v>
      </c>
      <c r="B62" t="s">
        <v>13</v>
      </c>
      <c r="C62">
        <v>750</v>
      </c>
      <c r="D62">
        <v>20</v>
      </c>
      <c r="E62">
        <v>170</v>
      </c>
      <c r="F62" s="1">
        <v>4.8715099999999997E-2</v>
      </c>
      <c r="G62" s="1">
        <v>1.33876E-2</v>
      </c>
      <c r="H62" s="1">
        <v>6.9214999999999999E-2</v>
      </c>
      <c r="I62" s="1">
        <v>1.9463899999999999E-2</v>
      </c>
      <c r="J62" s="1">
        <v>0.11380899999999999</v>
      </c>
      <c r="K62" s="2">
        <v>0.42804300000000001</v>
      </c>
    </row>
    <row r="63" spans="1:13" x14ac:dyDescent="0.2">
      <c r="A63" t="s">
        <v>21</v>
      </c>
      <c r="B63" t="s">
        <v>14</v>
      </c>
      <c r="C63">
        <v>750</v>
      </c>
      <c r="D63">
        <v>20</v>
      </c>
      <c r="E63">
        <v>170</v>
      </c>
      <c r="F63" s="1">
        <v>6.4753699999999997E-2</v>
      </c>
      <c r="G63" s="1">
        <v>2.12806E-2</v>
      </c>
      <c r="H63" s="1">
        <v>9.3752799999999997E-2</v>
      </c>
      <c r="I63" s="1">
        <v>3.7727400000000001E-2</v>
      </c>
      <c r="J63" s="1">
        <v>9.8701200000000003E-2</v>
      </c>
      <c r="K63" s="2">
        <v>0.65605800000000003</v>
      </c>
    </row>
    <row r="64" spans="1:13" x14ac:dyDescent="0.2">
      <c r="A64" t="s">
        <v>21</v>
      </c>
      <c r="B64" t="s">
        <v>15</v>
      </c>
      <c r="C64">
        <v>750</v>
      </c>
      <c r="D64">
        <v>20</v>
      </c>
      <c r="E64">
        <v>170</v>
      </c>
      <c r="F64" s="1">
        <v>1.57341E-4</v>
      </c>
      <c r="G64" s="1">
        <v>6.8663800000000005E-5</v>
      </c>
      <c r="H64" s="1">
        <v>2.6361599999999999E-4</v>
      </c>
      <c r="I64" s="1">
        <v>1.2986599999999999E-4</v>
      </c>
      <c r="J64" s="1">
        <v>2.9131600000000001E-4</v>
      </c>
      <c r="K64" s="2">
        <v>0.54010499999999995</v>
      </c>
      <c r="M64" s="16">
        <f>AVERAGE(K58:K64)</f>
        <v>0.54992742857142862</v>
      </c>
    </row>
    <row r="65" spans="1:13" s="6" customFormat="1" x14ac:dyDescent="0.2">
      <c r="A65" s="6" t="s">
        <v>21</v>
      </c>
      <c r="B65" s="6" t="s">
        <v>9</v>
      </c>
      <c r="C65" s="6">
        <v>750</v>
      </c>
      <c r="D65" s="6">
        <v>15</v>
      </c>
      <c r="E65" s="6">
        <v>170</v>
      </c>
      <c r="F65" s="7">
        <v>1.9436900000000001E-4</v>
      </c>
      <c r="G65" s="7">
        <v>7.4828500000000004E-5</v>
      </c>
      <c r="H65" s="7">
        <v>3.1321499999999999E-4</v>
      </c>
      <c r="I65" s="7">
        <v>1.49285E-4</v>
      </c>
      <c r="J65" s="7">
        <v>3.6009900000000001E-4</v>
      </c>
      <c r="K65" s="8">
        <v>0.53976500000000005</v>
      </c>
      <c r="L65" s="9"/>
    </row>
    <row r="66" spans="1:13" x14ac:dyDescent="0.2">
      <c r="A66" t="s">
        <v>21</v>
      </c>
      <c r="B66" t="s">
        <v>10</v>
      </c>
      <c r="C66">
        <v>750</v>
      </c>
      <c r="D66">
        <v>15</v>
      </c>
      <c r="E66">
        <v>170</v>
      </c>
      <c r="F66" s="1">
        <v>8.1825200000000001E-2</v>
      </c>
      <c r="G66" s="1">
        <v>1.9414799999999999E-2</v>
      </c>
      <c r="H66" s="1">
        <v>0.110305</v>
      </c>
      <c r="I66" s="1">
        <v>2.76712E-2</v>
      </c>
      <c r="J66" s="1">
        <v>0.13097500000000001</v>
      </c>
      <c r="K66" s="2">
        <v>0.62473800000000002</v>
      </c>
    </row>
    <row r="67" spans="1:13" x14ac:dyDescent="0.2">
      <c r="A67" t="s">
        <v>21</v>
      </c>
      <c r="B67" t="s">
        <v>11</v>
      </c>
      <c r="C67">
        <v>750</v>
      </c>
      <c r="D67">
        <v>15</v>
      </c>
      <c r="E67">
        <v>170</v>
      </c>
      <c r="F67" s="1">
        <v>7.9358899999999996E-2</v>
      </c>
      <c r="G67" s="1">
        <v>3.7237399999999997E-2</v>
      </c>
      <c r="H67" s="1">
        <v>0.13417499999999999</v>
      </c>
      <c r="I67" s="1">
        <v>6.2229399999999997E-2</v>
      </c>
      <c r="J67" s="1">
        <v>0.151559</v>
      </c>
      <c r="K67" s="2">
        <v>0.52361800000000003</v>
      </c>
    </row>
    <row r="68" spans="1:13" x14ac:dyDescent="0.2">
      <c r="A68" t="s">
        <v>21</v>
      </c>
      <c r="B68" t="s">
        <v>12</v>
      </c>
      <c r="C68">
        <v>750</v>
      </c>
      <c r="D68">
        <v>15</v>
      </c>
      <c r="E68">
        <v>170</v>
      </c>
      <c r="F68" s="1">
        <v>1.4554499999999999E-4</v>
      </c>
      <c r="G68" s="1">
        <v>7.0919899999999998E-5</v>
      </c>
      <c r="H68" s="1">
        <v>2.5763700000000001E-4</v>
      </c>
      <c r="I68" s="1">
        <v>1.4150299999999999E-4</v>
      </c>
      <c r="J68" s="1">
        <v>2.9401900000000002E-4</v>
      </c>
      <c r="K68" s="2">
        <v>0.49502000000000002</v>
      </c>
    </row>
    <row r="69" spans="1:13" x14ac:dyDescent="0.2">
      <c r="A69" t="s">
        <v>21</v>
      </c>
      <c r="B69" t="s">
        <v>13</v>
      </c>
      <c r="C69">
        <v>750</v>
      </c>
      <c r="D69">
        <v>15</v>
      </c>
      <c r="E69">
        <v>170</v>
      </c>
      <c r="F69" s="1">
        <v>4.7733299999999999E-2</v>
      </c>
      <c r="G69" s="1">
        <v>1.32E-2</v>
      </c>
      <c r="H69" s="1">
        <v>6.7767999999999995E-2</v>
      </c>
      <c r="I69" s="1">
        <v>1.9479099999999999E-2</v>
      </c>
      <c r="J69" s="1">
        <v>0.11380899999999999</v>
      </c>
      <c r="K69" s="2">
        <v>0.41941699999999998</v>
      </c>
    </row>
    <row r="70" spans="1:13" x14ac:dyDescent="0.2">
      <c r="A70" t="s">
        <v>21</v>
      </c>
      <c r="B70" t="s">
        <v>14</v>
      </c>
      <c r="C70">
        <v>750</v>
      </c>
      <c r="D70">
        <v>15</v>
      </c>
      <c r="E70">
        <v>170</v>
      </c>
      <c r="F70" s="1">
        <v>6.3712699999999997E-2</v>
      </c>
      <c r="G70" s="1">
        <v>2.0981199999999998E-2</v>
      </c>
      <c r="H70" s="1">
        <v>9.2217099999999996E-2</v>
      </c>
      <c r="I70" s="1">
        <v>3.76955E-2</v>
      </c>
      <c r="J70" s="1">
        <v>9.8701200000000003E-2</v>
      </c>
      <c r="K70" s="2">
        <v>0.64551099999999995</v>
      </c>
    </row>
    <row r="71" spans="1:13" x14ac:dyDescent="0.2">
      <c r="A71" t="s">
        <v>21</v>
      </c>
      <c r="B71" t="s">
        <v>15</v>
      </c>
      <c r="C71">
        <v>750</v>
      </c>
      <c r="D71">
        <v>15</v>
      </c>
      <c r="E71">
        <v>170</v>
      </c>
      <c r="F71" s="1">
        <v>1.5588399999999999E-4</v>
      </c>
      <c r="G71" s="1">
        <v>6.9033800000000003E-5</v>
      </c>
      <c r="H71" s="1">
        <v>2.6029500000000001E-4</v>
      </c>
      <c r="I71" s="1">
        <v>1.3225300000000001E-4</v>
      </c>
      <c r="J71" s="1">
        <v>2.9131600000000001E-4</v>
      </c>
      <c r="K71" s="2">
        <v>0.53510400000000002</v>
      </c>
      <c r="M71" s="16">
        <f>AVERAGE(K65:K71)</f>
        <v>0.54045328571428575</v>
      </c>
    </row>
    <row r="72" spans="1:13" s="6" customFormat="1" x14ac:dyDescent="0.2">
      <c r="A72" s="6" t="s">
        <v>21</v>
      </c>
      <c r="B72" s="6" t="s">
        <v>9</v>
      </c>
      <c r="C72" s="6">
        <v>750</v>
      </c>
      <c r="D72" s="6">
        <v>10</v>
      </c>
      <c r="E72" s="6">
        <v>170</v>
      </c>
      <c r="F72" s="7">
        <v>1.90333E-4</v>
      </c>
      <c r="G72" s="7">
        <v>7.4455699999999999E-5</v>
      </c>
      <c r="H72" s="7">
        <v>3.0738400000000001E-4</v>
      </c>
      <c r="I72" s="7">
        <v>1.5152199999999999E-4</v>
      </c>
      <c r="J72" s="7">
        <v>3.6009900000000001E-4</v>
      </c>
      <c r="K72" s="8">
        <v>0.52855600000000003</v>
      </c>
      <c r="L72" s="9"/>
    </row>
    <row r="73" spans="1:13" x14ac:dyDescent="0.2">
      <c r="A73" t="s">
        <v>21</v>
      </c>
      <c r="B73" t="s">
        <v>10</v>
      </c>
      <c r="C73">
        <v>750</v>
      </c>
      <c r="D73">
        <v>10</v>
      </c>
      <c r="E73">
        <v>170</v>
      </c>
      <c r="F73" s="1">
        <v>7.9500399999999999E-2</v>
      </c>
      <c r="G73" s="1">
        <v>1.8913300000000001E-2</v>
      </c>
      <c r="H73" s="1">
        <v>0.10681400000000001</v>
      </c>
      <c r="I73" s="1">
        <v>2.64976E-2</v>
      </c>
      <c r="J73" s="1">
        <v>0.13097500000000001</v>
      </c>
      <c r="K73" s="2">
        <v>0.60698799999999997</v>
      </c>
    </row>
    <row r="74" spans="1:13" x14ac:dyDescent="0.2">
      <c r="A74" t="s">
        <v>21</v>
      </c>
      <c r="B74" t="s">
        <v>11</v>
      </c>
      <c r="C74">
        <v>750</v>
      </c>
      <c r="D74">
        <v>10</v>
      </c>
      <c r="E74">
        <v>170</v>
      </c>
      <c r="F74" s="1">
        <v>7.7699799999999999E-2</v>
      </c>
      <c r="G74" s="1">
        <v>3.6009199999999998E-2</v>
      </c>
      <c r="H74" s="1">
        <v>0.131107</v>
      </c>
      <c r="I74" s="1">
        <v>6.0722400000000003E-2</v>
      </c>
      <c r="J74" s="1">
        <v>0.151559</v>
      </c>
      <c r="K74" s="2">
        <v>0.51267200000000002</v>
      </c>
    </row>
    <row r="75" spans="1:13" x14ac:dyDescent="0.2">
      <c r="A75" t="s">
        <v>21</v>
      </c>
      <c r="B75" t="s">
        <v>12</v>
      </c>
      <c r="C75">
        <v>750</v>
      </c>
      <c r="D75">
        <v>10</v>
      </c>
      <c r="E75">
        <v>170</v>
      </c>
      <c r="F75" s="1">
        <v>1.4225699999999999E-4</v>
      </c>
      <c r="G75" s="1">
        <v>6.8913999999999998E-5</v>
      </c>
      <c r="H75" s="1">
        <v>2.5172399999999999E-4</v>
      </c>
      <c r="I75" s="1">
        <v>1.4108E-4</v>
      </c>
      <c r="J75" s="1">
        <v>2.9401900000000002E-4</v>
      </c>
      <c r="K75" s="2">
        <v>0.48383500000000002</v>
      </c>
    </row>
    <row r="76" spans="1:13" x14ac:dyDescent="0.2">
      <c r="A76" t="s">
        <v>21</v>
      </c>
      <c r="B76" t="s">
        <v>13</v>
      </c>
      <c r="C76">
        <v>750</v>
      </c>
      <c r="D76">
        <v>10</v>
      </c>
      <c r="E76">
        <v>170</v>
      </c>
      <c r="F76" s="1">
        <v>4.6669500000000003E-2</v>
      </c>
      <c r="G76" s="1">
        <v>1.3159000000000001E-2</v>
      </c>
      <c r="H76" s="1">
        <v>6.6481499999999999E-2</v>
      </c>
      <c r="I76" s="1">
        <v>1.95011E-2</v>
      </c>
      <c r="J76" s="1">
        <v>0.11380899999999999</v>
      </c>
      <c r="K76" s="2">
        <v>0.41006900000000002</v>
      </c>
    </row>
    <row r="77" spans="1:13" x14ac:dyDescent="0.2">
      <c r="A77" t="s">
        <v>21</v>
      </c>
      <c r="B77" t="s">
        <v>14</v>
      </c>
      <c r="C77">
        <v>750</v>
      </c>
      <c r="D77">
        <v>10</v>
      </c>
      <c r="E77">
        <v>170</v>
      </c>
      <c r="F77" s="1">
        <v>6.2576499999999993E-2</v>
      </c>
      <c r="G77" s="1">
        <v>2.06375E-2</v>
      </c>
      <c r="H77" s="1">
        <v>9.0295399999999998E-2</v>
      </c>
      <c r="I77" s="1">
        <v>3.7002300000000002E-2</v>
      </c>
      <c r="J77" s="1">
        <v>9.8701200000000003E-2</v>
      </c>
      <c r="K77" s="2">
        <v>0.63399899999999998</v>
      </c>
    </row>
    <row r="78" spans="1:13" x14ac:dyDescent="0.2">
      <c r="A78" t="s">
        <v>21</v>
      </c>
      <c r="B78" t="s">
        <v>15</v>
      </c>
      <c r="C78">
        <v>750</v>
      </c>
      <c r="D78">
        <v>10</v>
      </c>
      <c r="E78">
        <v>170</v>
      </c>
      <c r="F78" s="1">
        <v>1.5045400000000001E-4</v>
      </c>
      <c r="G78" s="1">
        <v>6.7086000000000001E-5</v>
      </c>
      <c r="H78" s="1">
        <v>2.5316299999999999E-4</v>
      </c>
      <c r="I78" s="1">
        <v>1.30643E-4</v>
      </c>
      <c r="J78" s="1">
        <v>2.9131600000000001E-4</v>
      </c>
      <c r="K78" s="2">
        <v>0.51646400000000003</v>
      </c>
      <c r="M78" s="16">
        <f>AVERAGE(K72:K78)</f>
        <v>0.52751185714285709</v>
      </c>
    </row>
    <row r="79" spans="1:13" s="6" customFormat="1" x14ac:dyDescent="0.2">
      <c r="A79" s="6" t="s">
        <v>21</v>
      </c>
      <c r="B79" s="6" t="s">
        <v>9</v>
      </c>
      <c r="C79" s="6">
        <v>750</v>
      </c>
      <c r="D79" s="6">
        <v>5</v>
      </c>
      <c r="E79" s="6">
        <v>170</v>
      </c>
      <c r="F79" s="7">
        <v>1.92702E-4</v>
      </c>
      <c r="G79" s="7">
        <v>7.6825700000000005E-5</v>
      </c>
      <c r="H79" s="7">
        <v>3.1231599999999998E-4</v>
      </c>
      <c r="I79" s="7">
        <v>1.5040600000000001E-4</v>
      </c>
      <c r="J79" s="7">
        <v>3.6009900000000001E-4</v>
      </c>
      <c r="K79" s="8">
        <v>0.53513500000000003</v>
      </c>
      <c r="L79" s="9">
        <f>(K79-K72)/K72</f>
        <v>1.244712007809958E-2</v>
      </c>
    </row>
    <row r="80" spans="1:13" x14ac:dyDescent="0.2">
      <c r="A80" t="s">
        <v>21</v>
      </c>
      <c r="B80" t="s">
        <v>10</v>
      </c>
      <c r="C80">
        <v>750</v>
      </c>
      <c r="D80">
        <v>5</v>
      </c>
      <c r="E80">
        <v>170</v>
      </c>
      <c r="F80" s="1">
        <v>8.0573900000000004E-2</v>
      </c>
      <c r="G80" s="1">
        <v>1.9114800000000001E-2</v>
      </c>
      <c r="H80" s="1">
        <v>0.109308</v>
      </c>
      <c r="I80" s="1">
        <v>2.6962900000000001E-2</v>
      </c>
      <c r="J80" s="1">
        <v>0.13097500000000001</v>
      </c>
      <c r="K80" s="2">
        <v>0.61518399999999995</v>
      </c>
      <c r="L80" s="15">
        <f t="shared" ref="L80:L85" si="0">(K80-K73)/K73</f>
        <v>1.3502738110143827E-2</v>
      </c>
    </row>
    <row r="81" spans="1:14" x14ac:dyDescent="0.2">
      <c r="A81" t="s">
        <v>21</v>
      </c>
      <c r="B81" t="s">
        <v>11</v>
      </c>
      <c r="C81">
        <v>750</v>
      </c>
      <c r="D81">
        <v>5</v>
      </c>
      <c r="E81">
        <v>170</v>
      </c>
      <c r="F81" s="1">
        <v>7.7967700000000001E-2</v>
      </c>
      <c r="G81" s="1">
        <v>3.60346E-2</v>
      </c>
      <c r="H81" s="1">
        <v>0.13436999999999999</v>
      </c>
      <c r="I81" s="1">
        <v>6.0717199999999999E-2</v>
      </c>
      <c r="J81" s="1">
        <v>0.151559</v>
      </c>
      <c r="K81" s="2">
        <v>0.51443899999999998</v>
      </c>
      <c r="L81" s="15">
        <f t="shared" si="0"/>
        <v>3.4466481493039664E-3</v>
      </c>
    </row>
    <row r="82" spans="1:14" x14ac:dyDescent="0.2">
      <c r="A82" t="s">
        <v>21</v>
      </c>
      <c r="B82" t="s">
        <v>12</v>
      </c>
      <c r="C82">
        <v>750</v>
      </c>
      <c r="D82">
        <v>5</v>
      </c>
      <c r="E82">
        <v>170</v>
      </c>
      <c r="F82" s="1">
        <v>1.4080900000000001E-4</v>
      </c>
      <c r="G82" s="1">
        <v>6.96752E-5</v>
      </c>
      <c r="H82" s="1">
        <v>2.5544800000000002E-4</v>
      </c>
      <c r="I82" s="1">
        <v>1.4025499999999999E-4</v>
      </c>
      <c r="J82" s="1">
        <v>2.9401900000000002E-4</v>
      </c>
      <c r="K82" s="2">
        <v>0.478912</v>
      </c>
      <c r="L82" s="15">
        <f t="shared" si="0"/>
        <v>-1.0174956338421177E-2</v>
      </c>
    </row>
    <row r="83" spans="1:14" x14ac:dyDescent="0.2">
      <c r="A83" t="s">
        <v>21</v>
      </c>
      <c r="B83" t="s">
        <v>13</v>
      </c>
      <c r="C83">
        <v>750</v>
      </c>
      <c r="D83">
        <v>5</v>
      </c>
      <c r="E83">
        <v>170</v>
      </c>
      <c r="F83" s="1">
        <v>4.6708800000000002E-2</v>
      </c>
      <c r="G83" s="1">
        <v>1.34479E-2</v>
      </c>
      <c r="H83" s="1">
        <v>6.6971100000000006E-2</v>
      </c>
      <c r="I83" s="1">
        <v>2.01222E-2</v>
      </c>
      <c r="J83" s="1">
        <v>0.11380899999999999</v>
      </c>
      <c r="K83" s="2">
        <v>0.410414</v>
      </c>
      <c r="L83" s="15">
        <f t="shared" si="0"/>
        <v>8.4132182632675032E-4</v>
      </c>
    </row>
    <row r="84" spans="1:14" x14ac:dyDescent="0.2">
      <c r="A84" t="s">
        <v>21</v>
      </c>
      <c r="B84" t="s">
        <v>14</v>
      </c>
      <c r="C84">
        <v>750</v>
      </c>
      <c r="D84">
        <v>5</v>
      </c>
      <c r="E84">
        <v>170</v>
      </c>
      <c r="F84" s="1">
        <v>6.17563E-2</v>
      </c>
      <c r="G84" s="1">
        <v>2.0495699999999999E-2</v>
      </c>
      <c r="H84" s="1">
        <v>9.0576199999999996E-2</v>
      </c>
      <c r="I84" s="1">
        <v>3.7379099999999998E-2</v>
      </c>
      <c r="J84" s="1">
        <v>9.8701200000000003E-2</v>
      </c>
      <c r="K84" s="2">
        <v>0.62568999999999997</v>
      </c>
      <c r="L84" s="15">
        <f t="shared" si="0"/>
        <v>-1.3105698904887881E-2</v>
      </c>
    </row>
    <row r="85" spans="1:14" x14ac:dyDescent="0.2">
      <c r="A85" t="s">
        <v>21</v>
      </c>
      <c r="B85" t="s">
        <v>15</v>
      </c>
      <c r="C85">
        <v>750</v>
      </c>
      <c r="D85">
        <v>5</v>
      </c>
      <c r="E85">
        <v>170</v>
      </c>
      <c r="F85" s="1">
        <v>1.5050999999999999E-4</v>
      </c>
      <c r="G85" s="1">
        <v>6.7791800000000004E-5</v>
      </c>
      <c r="H85" s="1">
        <v>2.5734800000000002E-4</v>
      </c>
      <c r="I85" s="1">
        <v>1.30235E-4</v>
      </c>
      <c r="J85" s="1">
        <v>2.9131600000000001E-4</v>
      </c>
      <c r="K85" s="2">
        <v>0.51665499999999998</v>
      </c>
      <c r="L85" s="15">
        <f t="shared" si="0"/>
        <v>3.6982248520698674E-4</v>
      </c>
      <c r="M85" s="16">
        <f>AVERAGE(K79:K85)</f>
        <v>0.52806128571428579</v>
      </c>
    </row>
    <row r="86" spans="1:14" s="6" customFormat="1" x14ac:dyDescent="0.2">
      <c r="A86" s="6" t="s">
        <v>21</v>
      </c>
      <c r="B86" s="6" t="s">
        <v>9</v>
      </c>
      <c r="C86" s="6">
        <v>1500</v>
      </c>
      <c r="D86" s="6">
        <v>10</v>
      </c>
      <c r="E86" s="6">
        <v>170</v>
      </c>
      <c r="F86" s="10">
        <v>1.9304000000000001E-4</v>
      </c>
      <c r="G86" s="10">
        <v>7.4200000000000001E-5</v>
      </c>
      <c r="H86" s="10">
        <v>3.1066999999999998E-4</v>
      </c>
      <c r="I86" s="10">
        <v>1.5061E-4</v>
      </c>
      <c r="J86" s="10">
        <v>3.6010000000000003E-4</v>
      </c>
      <c r="K86" s="11">
        <v>0.53606100000000001</v>
      </c>
      <c r="L86" s="9">
        <f>(K86-K72)/K72</f>
        <v>1.419906310778798E-2</v>
      </c>
    </row>
    <row r="87" spans="1:14" s="12" customFormat="1" x14ac:dyDescent="0.2">
      <c r="A87" s="12" t="s">
        <v>21</v>
      </c>
      <c r="B87" s="12" t="s">
        <v>10</v>
      </c>
      <c r="C87" s="12">
        <v>1500</v>
      </c>
      <c r="D87" s="12">
        <v>10</v>
      </c>
      <c r="E87" s="12">
        <v>170</v>
      </c>
      <c r="F87" s="13">
        <v>7.9478300000000002E-2</v>
      </c>
      <c r="G87" s="13">
        <v>1.8798800000000001E-2</v>
      </c>
      <c r="H87" s="13">
        <v>0.106679</v>
      </c>
      <c r="I87" s="13">
        <v>2.6272899999999998E-2</v>
      </c>
      <c r="J87" s="13">
        <v>0.13097500000000001</v>
      </c>
      <c r="K87" s="14">
        <v>0.606819</v>
      </c>
      <c r="L87" s="15">
        <f t="shared" ref="L87:L92" si="1">(K87-K73)/K73</f>
        <v>-2.7842395566300281E-4</v>
      </c>
    </row>
    <row r="88" spans="1:14" x14ac:dyDescent="0.2">
      <c r="A88" t="s">
        <v>21</v>
      </c>
      <c r="B88" t="s">
        <v>11</v>
      </c>
      <c r="C88">
        <v>1500</v>
      </c>
      <c r="D88">
        <v>10</v>
      </c>
      <c r="E88">
        <v>170</v>
      </c>
      <c r="F88" s="3">
        <v>7.8549499999999994E-2</v>
      </c>
      <c r="G88" s="3">
        <v>3.5917200000000003E-2</v>
      </c>
      <c r="H88" s="3">
        <v>0.13198399999999999</v>
      </c>
      <c r="I88" s="3">
        <v>6.0674699999999998E-2</v>
      </c>
      <c r="J88" s="3">
        <v>0.151559</v>
      </c>
      <c r="K88" s="4">
        <v>0.51827800000000002</v>
      </c>
      <c r="L88" s="5">
        <f t="shared" si="1"/>
        <v>1.0934866737407152E-2</v>
      </c>
    </row>
    <row r="89" spans="1:14" x14ac:dyDescent="0.2">
      <c r="A89" t="s">
        <v>21</v>
      </c>
      <c r="B89" t="s">
        <v>12</v>
      </c>
      <c r="C89">
        <v>1500</v>
      </c>
      <c r="D89">
        <v>10</v>
      </c>
      <c r="E89">
        <v>170</v>
      </c>
      <c r="F89" s="3">
        <v>1.4440000000000001E-4</v>
      </c>
      <c r="G89" s="3">
        <v>6.8899999999999994E-5</v>
      </c>
      <c r="H89" s="3">
        <v>2.5394000000000003E-4</v>
      </c>
      <c r="I89" s="3">
        <v>1.4045E-4</v>
      </c>
      <c r="J89" s="3">
        <v>2.9401999999999998E-4</v>
      </c>
      <c r="K89" s="4">
        <v>0.49110599999999999</v>
      </c>
      <c r="L89" s="5">
        <f t="shared" si="1"/>
        <v>1.5027850403546605E-2</v>
      </c>
    </row>
    <row r="90" spans="1:14" x14ac:dyDescent="0.2">
      <c r="A90" t="s">
        <v>21</v>
      </c>
      <c r="B90" t="s">
        <v>13</v>
      </c>
      <c r="C90">
        <v>1500</v>
      </c>
      <c r="D90">
        <v>10</v>
      </c>
      <c r="E90">
        <v>170</v>
      </c>
      <c r="F90" s="3">
        <v>4.72459E-2</v>
      </c>
      <c r="G90" s="3">
        <v>1.3310000000000001E-2</v>
      </c>
      <c r="H90" s="3">
        <v>6.7193299999999997E-2</v>
      </c>
      <c r="I90" s="3">
        <v>1.9614300000000001E-2</v>
      </c>
      <c r="J90" s="3">
        <v>0.11380899999999999</v>
      </c>
      <c r="K90" s="4">
        <v>0.415134</v>
      </c>
      <c r="L90" s="5">
        <f t="shared" si="1"/>
        <v>1.2351579856072967E-2</v>
      </c>
    </row>
    <row r="91" spans="1:14" x14ac:dyDescent="0.2">
      <c r="A91" t="s">
        <v>21</v>
      </c>
      <c r="B91" t="s">
        <v>14</v>
      </c>
      <c r="C91">
        <v>1500</v>
      </c>
      <c r="D91">
        <v>10</v>
      </c>
      <c r="E91">
        <v>170</v>
      </c>
      <c r="F91" s="3">
        <v>6.3094999999999998E-2</v>
      </c>
      <c r="G91" s="3">
        <v>2.07268E-2</v>
      </c>
      <c r="H91" s="3">
        <v>9.0845300000000004E-2</v>
      </c>
      <c r="I91" s="3">
        <v>3.7031000000000001E-2</v>
      </c>
      <c r="J91" s="3">
        <v>9.8701200000000003E-2</v>
      </c>
      <c r="K91" s="4">
        <v>0.63925200000000004</v>
      </c>
      <c r="L91" s="5">
        <f t="shared" si="1"/>
        <v>8.2855020276058223E-3</v>
      </c>
    </row>
    <row r="92" spans="1:14" x14ac:dyDescent="0.2">
      <c r="A92" t="s">
        <v>21</v>
      </c>
      <c r="B92" t="s">
        <v>15</v>
      </c>
      <c r="C92">
        <v>1500</v>
      </c>
      <c r="D92">
        <v>10</v>
      </c>
      <c r="E92">
        <v>170</v>
      </c>
      <c r="F92" s="3">
        <v>1.5192999999999999E-4</v>
      </c>
      <c r="G92" s="3">
        <v>6.69E-5</v>
      </c>
      <c r="H92" s="3">
        <v>2.5457000000000002E-4</v>
      </c>
      <c r="I92" s="3">
        <v>1.3018E-4</v>
      </c>
      <c r="J92" s="3">
        <v>2.9132000000000002E-4</v>
      </c>
      <c r="K92" s="4">
        <v>0.52151999999999998</v>
      </c>
      <c r="L92" s="5">
        <f t="shared" si="1"/>
        <v>9.789646519408805E-3</v>
      </c>
      <c r="M92" s="16">
        <f>AVERAGE(K86:K92)</f>
        <v>0.53259571428571417</v>
      </c>
      <c r="N92" t="s">
        <v>27</v>
      </c>
    </row>
    <row r="93" spans="1:14" s="6" customFormat="1" x14ac:dyDescent="0.2">
      <c r="A93" s="6" t="s">
        <v>21</v>
      </c>
      <c r="B93" s="6" t="s">
        <v>9</v>
      </c>
      <c r="C93" s="6">
        <v>500</v>
      </c>
      <c r="D93" s="6">
        <v>10</v>
      </c>
      <c r="E93" s="6">
        <v>170</v>
      </c>
      <c r="F93" s="7">
        <v>1.8771799999999999E-4</v>
      </c>
      <c r="G93" s="7">
        <v>7.4476399999999997E-5</v>
      </c>
      <c r="H93" s="7">
        <v>3.0440900000000001E-4</v>
      </c>
      <c r="I93" s="7">
        <v>1.5181099999999999E-4</v>
      </c>
      <c r="J93" s="7">
        <v>3.6009900000000001E-4</v>
      </c>
      <c r="K93" s="8">
        <v>0.52129499999999995</v>
      </c>
      <c r="L93" s="9">
        <f>(K93-K72)/K72</f>
        <v>-1.3737428011412362E-2</v>
      </c>
    </row>
    <row r="94" spans="1:14" x14ac:dyDescent="0.2">
      <c r="A94" t="s">
        <v>21</v>
      </c>
      <c r="B94" t="s">
        <v>10</v>
      </c>
      <c r="C94">
        <v>500</v>
      </c>
      <c r="D94">
        <v>10</v>
      </c>
      <c r="E94">
        <v>170</v>
      </c>
      <c r="F94" s="1">
        <v>7.9192700000000005E-2</v>
      </c>
      <c r="G94" s="1">
        <v>1.8955900000000001E-2</v>
      </c>
      <c r="H94" s="1">
        <v>0.106458</v>
      </c>
      <c r="I94" s="1">
        <v>2.6610200000000001E-2</v>
      </c>
      <c r="J94" s="1">
        <v>0.13097500000000001</v>
      </c>
      <c r="K94" s="2">
        <v>0.60463900000000004</v>
      </c>
      <c r="L94" s="5">
        <f t="shared" ref="L94:L99" si="2">(K94-K73)/K73</f>
        <v>-3.8699282358134503E-3</v>
      </c>
    </row>
    <row r="95" spans="1:14" x14ac:dyDescent="0.2">
      <c r="A95" t="s">
        <v>21</v>
      </c>
      <c r="B95" t="s">
        <v>11</v>
      </c>
      <c r="C95">
        <v>500</v>
      </c>
      <c r="D95">
        <v>10</v>
      </c>
      <c r="E95">
        <v>170</v>
      </c>
      <c r="F95" s="1">
        <v>7.6777200000000004E-2</v>
      </c>
      <c r="G95" s="1">
        <v>3.5857399999999998E-2</v>
      </c>
      <c r="H95" s="1">
        <v>0.13020799999999999</v>
      </c>
      <c r="I95" s="1">
        <v>6.0621500000000002E-2</v>
      </c>
      <c r="J95" s="1">
        <v>0.151559</v>
      </c>
      <c r="K95" s="2">
        <v>0.50658400000000003</v>
      </c>
      <c r="L95" s="5">
        <f t="shared" si="2"/>
        <v>-1.1875039011297637E-2</v>
      </c>
    </row>
    <row r="96" spans="1:14" x14ac:dyDescent="0.2">
      <c r="A96" t="s">
        <v>21</v>
      </c>
      <c r="B96" t="s">
        <v>12</v>
      </c>
      <c r="C96">
        <v>500</v>
      </c>
      <c r="D96">
        <v>10</v>
      </c>
      <c r="E96">
        <v>170</v>
      </c>
      <c r="F96" s="1">
        <v>1.39696E-4</v>
      </c>
      <c r="G96" s="1">
        <v>6.8873200000000003E-5</v>
      </c>
      <c r="H96" s="1">
        <v>2.49297E-4</v>
      </c>
      <c r="I96" s="1">
        <v>1.41354E-4</v>
      </c>
      <c r="J96" s="1">
        <v>2.9401900000000002E-4</v>
      </c>
      <c r="K96" s="2">
        <v>0.47512700000000002</v>
      </c>
      <c r="L96" s="5">
        <f t="shared" si="2"/>
        <v>-1.7997871175090666E-2</v>
      </c>
    </row>
    <row r="97" spans="1:14" x14ac:dyDescent="0.2">
      <c r="A97" t="s">
        <v>21</v>
      </c>
      <c r="B97" t="s">
        <v>13</v>
      </c>
      <c r="C97">
        <v>500</v>
      </c>
      <c r="D97">
        <v>10</v>
      </c>
      <c r="E97">
        <v>170</v>
      </c>
      <c r="F97" s="1">
        <v>4.6111800000000001E-2</v>
      </c>
      <c r="G97" s="1">
        <v>1.31387E-2</v>
      </c>
      <c r="H97" s="1">
        <v>6.5754999999999994E-2</v>
      </c>
      <c r="I97" s="1">
        <v>1.9448099999999999E-2</v>
      </c>
      <c r="J97" s="1">
        <v>0.11380899999999999</v>
      </c>
      <c r="K97" s="2">
        <v>0.405169</v>
      </c>
      <c r="L97" s="5">
        <f t="shared" si="2"/>
        <v>-1.1949208547829793E-2</v>
      </c>
    </row>
    <row r="98" spans="1:14" x14ac:dyDescent="0.2">
      <c r="A98" t="s">
        <v>21</v>
      </c>
      <c r="B98" t="s">
        <v>14</v>
      </c>
      <c r="C98">
        <v>500</v>
      </c>
      <c r="D98">
        <v>10</v>
      </c>
      <c r="E98">
        <v>170</v>
      </c>
      <c r="F98" s="1">
        <v>6.1794399999999999E-2</v>
      </c>
      <c r="G98" s="1">
        <v>2.0511999999999999E-2</v>
      </c>
      <c r="H98" s="1">
        <v>8.9377799999999993E-2</v>
      </c>
      <c r="I98" s="1">
        <v>3.69769E-2</v>
      </c>
      <c r="J98" s="1">
        <v>9.8701200000000003E-2</v>
      </c>
      <c r="K98" s="2">
        <v>0.62607599999999997</v>
      </c>
      <c r="L98" s="5">
        <f t="shared" si="2"/>
        <v>-1.2496865137011278E-2</v>
      </c>
    </row>
    <row r="99" spans="1:14" x14ac:dyDescent="0.2">
      <c r="A99" t="s">
        <v>21</v>
      </c>
      <c r="B99" t="s">
        <v>15</v>
      </c>
      <c r="C99">
        <v>500</v>
      </c>
      <c r="D99">
        <v>10</v>
      </c>
      <c r="E99">
        <v>170</v>
      </c>
      <c r="F99" s="1">
        <v>1.4860399999999999E-4</v>
      </c>
      <c r="G99" s="1">
        <v>6.7086000000000001E-5</v>
      </c>
      <c r="H99" s="1">
        <v>2.5124099999999998E-4</v>
      </c>
      <c r="I99" s="1">
        <v>1.3080399999999999E-4</v>
      </c>
      <c r="J99" s="1">
        <v>2.9131600000000001E-4</v>
      </c>
      <c r="K99" s="2">
        <v>0.51011300000000004</v>
      </c>
      <c r="L99" s="5">
        <f t="shared" si="2"/>
        <v>-1.2297081693980597E-2</v>
      </c>
      <c r="M99" s="16">
        <f>AVERAGE(K93:K99)</f>
        <v>0.52128614285714281</v>
      </c>
      <c r="N99" t="s">
        <v>28</v>
      </c>
    </row>
    <row r="100" spans="1:14" s="6" customFormat="1" x14ac:dyDescent="0.2">
      <c r="A100" s="6" t="s">
        <v>21</v>
      </c>
      <c r="B100" s="6" t="s">
        <v>9</v>
      </c>
      <c r="C100" s="6">
        <v>350</v>
      </c>
      <c r="D100" s="6">
        <v>10</v>
      </c>
      <c r="E100" s="6">
        <v>170</v>
      </c>
      <c r="F100" s="7">
        <v>1.8539500000000001E-4</v>
      </c>
      <c r="G100" s="7">
        <v>7.4556999999999998E-5</v>
      </c>
      <c r="H100" s="7">
        <v>3.0155299999999998E-4</v>
      </c>
      <c r="I100" s="7">
        <v>1.5174200000000001E-4</v>
      </c>
      <c r="J100" s="7">
        <v>3.6009900000000001E-4</v>
      </c>
      <c r="K100" s="8">
        <v>0.514845</v>
      </c>
      <c r="L100" s="9">
        <f>(K100-K72)/K72</f>
        <v>-2.5940486911509901E-2</v>
      </c>
    </row>
    <row r="101" spans="1:14" x14ac:dyDescent="0.2">
      <c r="A101" t="s">
        <v>21</v>
      </c>
      <c r="B101" t="s">
        <v>10</v>
      </c>
      <c r="C101" s="12">
        <v>350</v>
      </c>
      <c r="D101">
        <v>10</v>
      </c>
      <c r="E101">
        <v>170</v>
      </c>
      <c r="F101" s="1">
        <v>7.8607099999999999E-2</v>
      </c>
      <c r="G101" s="1">
        <v>1.9007900000000001E-2</v>
      </c>
      <c r="H101" s="1">
        <v>0.10584</v>
      </c>
      <c r="I101" s="1">
        <v>2.67447E-2</v>
      </c>
      <c r="J101" s="1">
        <v>0.13097500000000001</v>
      </c>
      <c r="K101" s="2">
        <v>0.60016800000000003</v>
      </c>
      <c r="L101" s="15">
        <f t="shared" ref="L101:L113" si="3">(K101-K73)/K73</f>
        <v>-1.1235806968177192E-2</v>
      </c>
    </row>
    <row r="102" spans="1:14" x14ac:dyDescent="0.2">
      <c r="A102" t="s">
        <v>21</v>
      </c>
      <c r="B102" t="s">
        <v>11</v>
      </c>
      <c r="C102" s="12">
        <v>350</v>
      </c>
      <c r="D102">
        <v>10</v>
      </c>
      <c r="E102">
        <v>170</v>
      </c>
      <c r="F102" s="1">
        <v>7.5731000000000007E-2</v>
      </c>
      <c r="G102" s="1">
        <v>3.5770700000000002E-2</v>
      </c>
      <c r="H102" s="1">
        <v>0.12928400000000001</v>
      </c>
      <c r="I102" s="1">
        <v>6.0498400000000001E-2</v>
      </c>
      <c r="J102" s="1">
        <v>0.151559</v>
      </c>
      <c r="K102" s="2">
        <v>0.49968099999999999</v>
      </c>
      <c r="L102" s="15">
        <f t="shared" si="3"/>
        <v>-2.5339788402721487E-2</v>
      </c>
    </row>
    <row r="103" spans="1:14" x14ac:dyDescent="0.2">
      <c r="A103" t="s">
        <v>21</v>
      </c>
      <c r="B103" t="s">
        <v>12</v>
      </c>
      <c r="C103" s="12">
        <v>350</v>
      </c>
      <c r="D103">
        <v>10</v>
      </c>
      <c r="E103">
        <v>170</v>
      </c>
      <c r="F103" s="1">
        <v>1.37372E-4</v>
      </c>
      <c r="G103" s="1">
        <v>6.9139400000000004E-5</v>
      </c>
      <c r="H103" s="1">
        <v>2.4701699999999998E-4</v>
      </c>
      <c r="I103" s="1">
        <v>1.41507E-4</v>
      </c>
      <c r="J103" s="1">
        <v>2.9401900000000002E-4</v>
      </c>
      <c r="K103" s="2">
        <v>0.467223</v>
      </c>
      <c r="L103" s="15">
        <f t="shared" si="3"/>
        <v>-3.4334018828732965E-2</v>
      </c>
    </row>
    <row r="104" spans="1:14" x14ac:dyDescent="0.2">
      <c r="A104" t="s">
        <v>21</v>
      </c>
      <c r="B104" t="s">
        <v>13</v>
      </c>
      <c r="C104" s="12">
        <v>350</v>
      </c>
      <c r="D104">
        <v>10</v>
      </c>
      <c r="E104">
        <v>170</v>
      </c>
      <c r="F104" s="1">
        <v>4.54028E-2</v>
      </c>
      <c r="G104" s="1">
        <v>1.30977E-2</v>
      </c>
      <c r="H104" s="1">
        <v>6.4958500000000002E-2</v>
      </c>
      <c r="I104" s="1">
        <v>1.94609E-2</v>
      </c>
      <c r="J104" s="1">
        <v>0.11380899999999999</v>
      </c>
      <c r="K104" s="2">
        <v>0.39893899999999999</v>
      </c>
      <c r="L104" s="15">
        <f t="shared" si="3"/>
        <v>-2.7141773701499085E-2</v>
      </c>
    </row>
    <row r="105" spans="1:14" x14ac:dyDescent="0.2">
      <c r="A105" t="s">
        <v>21</v>
      </c>
      <c r="B105" t="s">
        <v>14</v>
      </c>
      <c r="C105" s="12">
        <v>350</v>
      </c>
      <c r="D105">
        <v>10</v>
      </c>
      <c r="E105">
        <v>170</v>
      </c>
      <c r="F105" s="1">
        <v>6.0976200000000001E-2</v>
      </c>
      <c r="G105" s="1">
        <v>2.05154E-2</v>
      </c>
      <c r="H105" s="1">
        <v>8.8414000000000006E-2</v>
      </c>
      <c r="I105" s="1">
        <v>3.7142000000000001E-2</v>
      </c>
      <c r="J105" s="1">
        <v>9.8701200000000003E-2</v>
      </c>
      <c r="K105" s="2">
        <v>0.61778599999999995</v>
      </c>
      <c r="L105" s="15">
        <f t="shared" si="3"/>
        <v>-2.5572595540371567E-2</v>
      </c>
    </row>
    <row r="106" spans="1:14" x14ac:dyDescent="0.2">
      <c r="A106" t="s">
        <v>21</v>
      </c>
      <c r="B106" t="s">
        <v>15</v>
      </c>
      <c r="C106" s="12">
        <v>350</v>
      </c>
      <c r="D106">
        <v>10</v>
      </c>
      <c r="E106">
        <v>170</v>
      </c>
      <c r="F106" s="1">
        <v>1.46952E-4</v>
      </c>
      <c r="G106" s="1">
        <v>6.7174099999999998E-5</v>
      </c>
      <c r="H106" s="1">
        <v>2.4947499999999998E-4</v>
      </c>
      <c r="I106" s="1">
        <v>1.3087E-4</v>
      </c>
      <c r="J106" s="1">
        <v>2.9131600000000001E-4</v>
      </c>
      <c r="K106" s="2">
        <v>0.50444100000000003</v>
      </c>
      <c r="L106" s="15">
        <f t="shared" si="3"/>
        <v>-2.327945413426687E-2</v>
      </c>
      <c r="M106" s="16">
        <f>AVERAGE(K100:K106)</f>
        <v>0.5147261428571428</v>
      </c>
      <c r="N106" t="s">
        <v>29</v>
      </c>
    </row>
    <row r="107" spans="1:14" x14ac:dyDescent="0.2">
      <c r="A107" s="6" t="s">
        <v>21</v>
      </c>
      <c r="B107" s="6" t="s">
        <v>9</v>
      </c>
      <c r="C107" s="6">
        <v>250</v>
      </c>
      <c r="D107" s="6">
        <v>10</v>
      </c>
      <c r="E107" s="6">
        <v>170</v>
      </c>
      <c r="F107" s="7">
        <v>1.8369600000000001E-4</v>
      </c>
      <c r="G107" s="7">
        <v>7.4886099999999994E-5</v>
      </c>
      <c r="H107" s="7">
        <v>2.9915999999999997E-4</v>
      </c>
      <c r="I107" s="7">
        <v>1.50984E-4</v>
      </c>
      <c r="J107" s="7">
        <v>3.6009900000000001E-4</v>
      </c>
      <c r="K107" s="8">
        <v>0.51012500000000005</v>
      </c>
      <c r="L107" s="9">
        <f>(K107-K72)/K72</f>
        <v>-3.4870477300418451E-2</v>
      </c>
      <c r="M107" s="6"/>
    </row>
    <row r="108" spans="1:14" x14ac:dyDescent="0.2">
      <c r="A108" t="s">
        <v>21</v>
      </c>
      <c r="B108" t="s">
        <v>10</v>
      </c>
      <c r="C108" s="12">
        <v>250</v>
      </c>
      <c r="D108">
        <v>10</v>
      </c>
      <c r="E108">
        <v>170</v>
      </c>
      <c r="F108" s="1">
        <v>7.8050300000000003E-2</v>
      </c>
      <c r="G108" s="1">
        <v>1.90799E-2</v>
      </c>
      <c r="H108" s="1">
        <v>0.105336</v>
      </c>
      <c r="I108" s="1">
        <v>2.6919499999999999E-2</v>
      </c>
      <c r="J108" s="1">
        <v>0.13097500000000001</v>
      </c>
      <c r="K108" s="2">
        <v>0.595916</v>
      </c>
      <c r="L108" s="15">
        <f t="shared" ref="L108:L127" si="4">(K108-K73)/K73</f>
        <v>-1.8240887793498341E-2</v>
      </c>
    </row>
    <row r="109" spans="1:14" x14ac:dyDescent="0.2">
      <c r="A109" t="s">
        <v>21</v>
      </c>
      <c r="B109" t="s">
        <v>11</v>
      </c>
      <c r="C109" s="12">
        <v>250</v>
      </c>
      <c r="D109">
        <v>10</v>
      </c>
      <c r="E109">
        <v>170</v>
      </c>
      <c r="F109" s="1">
        <v>7.4706599999999998E-2</v>
      </c>
      <c r="G109" s="1">
        <v>3.56748E-2</v>
      </c>
      <c r="H109" s="1">
        <v>0.128442</v>
      </c>
      <c r="I109" s="1">
        <v>6.0169300000000002E-2</v>
      </c>
      <c r="J109" s="1">
        <v>0.151559</v>
      </c>
      <c r="K109" s="2">
        <v>0.49292200000000003</v>
      </c>
      <c r="L109" s="15">
        <f t="shared" si="4"/>
        <v>-3.8523656450908161E-2</v>
      </c>
    </row>
    <row r="110" spans="1:14" x14ac:dyDescent="0.2">
      <c r="A110" t="s">
        <v>21</v>
      </c>
      <c r="B110" t="s">
        <v>12</v>
      </c>
      <c r="C110" s="12">
        <v>250</v>
      </c>
      <c r="D110">
        <v>10</v>
      </c>
      <c r="E110">
        <v>170</v>
      </c>
      <c r="F110" s="1">
        <v>1.3553299999999999E-4</v>
      </c>
      <c r="G110" s="1">
        <v>6.9478400000000002E-5</v>
      </c>
      <c r="H110" s="1">
        <v>2.45286E-4</v>
      </c>
      <c r="I110" s="1">
        <v>1.4120100000000001E-4</v>
      </c>
      <c r="J110" s="1">
        <v>2.9401900000000002E-4</v>
      </c>
      <c r="K110" s="2">
        <v>0.46096700000000002</v>
      </c>
      <c r="L110" s="15">
        <f t="shared" si="4"/>
        <v>-4.7264046627465972E-2</v>
      </c>
    </row>
    <row r="111" spans="1:14" x14ac:dyDescent="0.2">
      <c r="A111" t="s">
        <v>21</v>
      </c>
      <c r="B111" t="s">
        <v>13</v>
      </c>
      <c r="C111" s="12">
        <v>250</v>
      </c>
      <c r="D111">
        <v>10</v>
      </c>
      <c r="E111">
        <v>170</v>
      </c>
      <c r="F111" s="1">
        <v>4.4581500000000003E-2</v>
      </c>
      <c r="G111" s="1">
        <v>1.3091E-2</v>
      </c>
      <c r="H111" s="1">
        <v>6.4138700000000007E-2</v>
      </c>
      <c r="I111" s="1">
        <v>1.9515500000000002E-2</v>
      </c>
      <c r="J111" s="1">
        <v>0.11380899999999999</v>
      </c>
      <c r="K111" s="2">
        <v>0.39172299999999999</v>
      </c>
      <c r="L111" s="15">
        <f t="shared" si="4"/>
        <v>-4.4738812248670413E-2</v>
      </c>
    </row>
    <row r="112" spans="1:14" x14ac:dyDescent="0.2">
      <c r="A112" t="s">
        <v>21</v>
      </c>
      <c r="B112" t="s">
        <v>14</v>
      </c>
      <c r="C112" s="12">
        <v>250</v>
      </c>
      <c r="D112">
        <v>10</v>
      </c>
      <c r="E112">
        <v>170</v>
      </c>
      <c r="F112" s="1">
        <v>6.0392899999999999E-2</v>
      </c>
      <c r="G112" s="1">
        <v>2.06882E-2</v>
      </c>
      <c r="H112" s="1">
        <v>8.7738899999999995E-2</v>
      </c>
      <c r="I112" s="1">
        <v>3.75184E-2</v>
      </c>
      <c r="J112" s="1">
        <v>9.8701200000000003E-2</v>
      </c>
      <c r="K112" s="2">
        <v>0.61187599999999998</v>
      </c>
      <c r="L112" s="15">
        <f t="shared" si="4"/>
        <v>-3.4894376805010743E-2</v>
      </c>
    </row>
    <row r="113" spans="1:14" x14ac:dyDescent="0.2">
      <c r="A113" t="s">
        <v>21</v>
      </c>
      <c r="B113" t="s">
        <v>15</v>
      </c>
      <c r="C113" s="12">
        <v>250</v>
      </c>
      <c r="D113">
        <v>10</v>
      </c>
      <c r="E113">
        <v>170</v>
      </c>
      <c r="F113" s="1">
        <v>1.45613E-4</v>
      </c>
      <c r="G113" s="1">
        <v>6.7217699999999999E-5</v>
      </c>
      <c r="H113" s="1">
        <v>2.4818900000000001E-4</v>
      </c>
      <c r="I113" s="1">
        <v>1.30786E-4</v>
      </c>
      <c r="J113" s="1">
        <v>2.9131600000000001E-4</v>
      </c>
      <c r="K113" s="2">
        <v>0.49984499999999998</v>
      </c>
      <c r="L113" s="15">
        <f t="shared" si="4"/>
        <v>-3.2178428699773942E-2</v>
      </c>
      <c r="M113" s="16">
        <f>AVERAGE(K107:K113)</f>
        <v>0.50905342857142855</v>
      </c>
      <c r="N113" t="s">
        <v>29</v>
      </c>
    </row>
    <row r="114" spans="1:14" x14ac:dyDescent="0.2">
      <c r="A114" s="6" t="s">
        <v>21</v>
      </c>
      <c r="B114" s="6" t="s">
        <v>9</v>
      </c>
      <c r="C114" s="6">
        <v>100</v>
      </c>
      <c r="D114" s="6">
        <v>10</v>
      </c>
      <c r="E114" s="6">
        <v>170</v>
      </c>
      <c r="F114" s="7">
        <v>1.8323499999999999E-4</v>
      </c>
      <c r="G114" s="7">
        <v>7.1609700000000007E-5</v>
      </c>
      <c r="H114" s="7">
        <v>2.96562E-4</v>
      </c>
      <c r="I114" s="7">
        <v>1.4087E-4</v>
      </c>
      <c r="J114" s="7">
        <v>3.6009900000000001E-4</v>
      </c>
      <c r="K114" s="8">
        <v>0.50884499999999999</v>
      </c>
      <c r="L114" s="9">
        <f>(K114-K72)/K72</f>
        <v>-3.7292169609275144E-2</v>
      </c>
      <c r="M114" s="6"/>
    </row>
    <row r="115" spans="1:14" x14ac:dyDescent="0.2">
      <c r="A115" t="s">
        <v>21</v>
      </c>
      <c r="B115" t="s">
        <v>10</v>
      </c>
      <c r="C115" s="12">
        <v>100</v>
      </c>
      <c r="D115">
        <v>10</v>
      </c>
      <c r="E115">
        <v>170</v>
      </c>
      <c r="F115" s="1">
        <v>8.0984899999999999E-2</v>
      </c>
      <c r="G115" s="1">
        <v>1.9832599999999999E-2</v>
      </c>
      <c r="H115" s="1">
        <v>0.108543</v>
      </c>
      <c r="I115" s="1">
        <v>2.72511E-2</v>
      </c>
      <c r="J115" s="1">
        <v>0.13097500000000001</v>
      </c>
      <c r="K115" s="2">
        <v>0.61832200000000004</v>
      </c>
      <c r="L115" s="15">
        <f t="shared" ref="L115:L120" si="5">(K115-K73)/K73</f>
        <v>1.8672527298727596E-2</v>
      </c>
      <c r="N115" t="s">
        <v>31</v>
      </c>
    </row>
    <row r="116" spans="1:14" x14ac:dyDescent="0.2">
      <c r="A116" t="s">
        <v>21</v>
      </c>
      <c r="B116" t="s">
        <v>11</v>
      </c>
      <c r="C116" s="12">
        <v>100</v>
      </c>
      <c r="D116">
        <v>10</v>
      </c>
      <c r="E116">
        <v>170</v>
      </c>
      <c r="F116" s="1">
        <v>7.2842000000000004E-2</v>
      </c>
      <c r="G116" s="1">
        <v>3.45344E-2</v>
      </c>
      <c r="H116" s="1">
        <v>0.12643099999999999</v>
      </c>
      <c r="I116" s="1">
        <v>5.7324E-2</v>
      </c>
      <c r="J116" s="1">
        <v>0.151559</v>
      </c>
      <c r="K116" s="2">
        <v>0.48061900000000002</v>
      </c>
      <c r="L116" s="15">
        <f t="shared" si="5"/>
        <v>-6.252145621371949E-2</v>
      </c>
    </row>
    <row r="117" spans="1:14" x14ac:dyDescent="0.2">
      <c r="A117" t="s">
        <v>21</v>
      </c>
      <c r="B117" t="s">
        <v>12</v>
      </c>
      <c r="C117" s="12">
        <v>100</v>
      </c>
      <c r="D117">
        <v>10</v>
      </c>
      <c r="E117">
        <v>170</v>
      </c>
      <c r="F117" s="1">
        <v>1.3252699999999999E-4</v>
      </c>
      <c r="G117" s="1">
        <v>6.7898000000000006E-5</v>
      </c>
      <c r="H117" s="1">
        <v>2.4163400000000001E-4</v>
      </c>
      <c r="I117" s="1">
        <v>1.37076E-4</v>
      </c>
      <c r="J117" s="1">
        <v>2.9401900000000002E-4</v>
      </c>
      <c r="K117" s="2">
        <v>0.45074399999999998</v>
      </c>
      <c r="L117" s="15">
        <f t="shared" si="5"/>
        <v>-6.8393150557524846E-2</v>
      </c>
    </row>
    <row r="118" spans="1:14" x14ac:dyDescent="0.2">
      <c r="A118" t="s">
        <v>21</v>
      </c>
      <c r="B118" t="s">
        <v>13</v>
      </c>
      <c r="C118" s="12">
        <v>100</v>
      </c>
      <c r="D118">
        <v>10</v>
      </c>
      <c r="E118">
        <v>170</v>
      </c>
      <c r="F118" s="1">
        <v>4.4413300000000003E-2</v>
      </c>
      <c r="G118" s="1">
        <v>1.31988E-2</v>
      </c>
      <c r="H118" s="1">
        <v>6.4298800000000003E-2</v>
      </c>
      <c r="I118" s="1">
        <v>1.9594500000000001E-2</v>
      </c>
      <c r="J118" s="1">
        <v>0.11380899999999999</v>
      </c>
      <c r="K118" s="2">
        <v>0.39024500000000001</v>
      </c>
      <c r="L118" s="15">
        <f t="shared" si="5"/>
        <v>-4.8343083724934115E-2</v>
      </c>
    </row>
    <row r="119" spans="1:14" x14ac:dyDescent="0.2">
      <c r="A119" t="s">
        <v>21</v>
      </c>
      <c r="B119" t="s">
        <v>14</v>
      </c>
      <c r="C119" s="12">
        <v>100</v>
      </c>
      <c r="D119">
        <v>10</v>
      </c>
      <c r="E119">
        <v>170</v>
      </c>
      <c r="F119" s="1">
        <v>6.01364E-2</v>
      </c>
      <c r="G119" s="1">
        <v>2.1066399999999999E-2</v>
      </c>
      <c r="H119" s="1">
        <v>8.7617700000000007E-2</v>
      </c>
      <c r="I119" s="1">
        <v>3.8422400000000002E-2</v>
      </c>
      <c r="J119" s="1">
        <v>9.8701200000000003E-2</v>
      </c>
      <c r="K119" s="2">
        <v>0.60927699999999996</v>
      </c>
      <c r="L119" s="15">
        <f t="shared" si="5"/>
        <v>-3.8993752356076307E-2</v>
      </c>
    </row>
    <row r="120" spans="1:14" x14ac:dyDescent="0.2">
      <c r="A120" t="s">
        <v>21</v>
      </c>
      <c r="B120" t="s">
        <v>15</v>
      </c>
      <c r="C120" s="12">
        <v>100</v>
      </c>
      <c r="D120">
        <v>10</v>
      </c>
      <c r="E120">
        <v>170</v>
      </c>
      <c r="F120" s="1">
        <v>1.4542099999999999E-4</v>
      </c>
      <c r="G120" s="1">
        <v>6.6249100000000002E-5</v>
      </c>
      <c r="H120" s="1">
        <v>2.46381E-4</v>
      </c>
      <c r="I120" s="1">
        <v>1.28773E-4</v>
      </c>
      <c r="J120" s="1">
        <v>2.9131600000000001E-4</v>
      </c>
      <c r="K120" s="2">
        <v>0.49918699999999999</v>
      </c>
      <c r="L120" s="15">
        <f t="shared" si="5"/>
        <v>-3.3452476842529277E-2</v>
      </c>
      <c r="M120" s="16">
        <f>AVERAGE(K114:K120)</f>
        <v>0.50817699999999999</v>
      </c>
      <c r="N120" t="s">
        <v>30</v>
      </c>
    </row>
    <row r="121" spans="1:14" x14ac:dyDescent="0.2">
      <c r="A121" s="6" t="s">
        <v>21</v>
      </c>
      <c r="B121" s="6" t="s">
        <v>9</v>
      </c>
      <c r="C121" s="6">
        <v>200</v>
      </c>
      <c r="D121" s="6">
        <v>10</v>
      </c>
      <c r="E121" s="6">
        <v>170</v>
      </c>
      <c r="F121" s="7">
        <v>1.8302999999999999E-4</v>
      </c>
      <c r="G121" s="7">
        <v>7.4599999999999997E-5</v>
      </c>
      <c r="H121" s="7">
        <v>2.9805599999999999E-4</v>
      </c>
      <c r="I121" s="7">
        <v>1.4923200000000001E-4</v>
      </c>
      <c r="J121" s="7">
        <v>3.6009900000000001E-4</v>
      </c>
      <c r="K121" s="8">
        <v>0.50827800000000001</v>
      </c>
      <c r="L121" s="9">
        <f>(K121-K72)/K72</f>
        <v>-3.8364903624213929E-2</v>
      </c>
      <c r="M121" s="6"/>
    </row>
    <row r="122" spans="1:14" x14ac:dyDescent="0.2">
      <c r="A122" t="s">
        <v>21</v>
      </c>
      <c r="B122" t="s">
        <v>10</v>
      </c>
      <c r="C122" s="12">
        <v>200</v>
      </c>
      <c r="D122">
        <v>10</v>
      </c>
      <c r="E122">
        <v>170</v>
      </c>
      <c r="F122" s="1">
        <v>7.8043899999999999E-2</v>
      </c>
      <c r="G122" s="1">
        <v>1.9275199999999999E-2</v>
      </c>
      <c r="H122" s="1">
        <v>0.105376</v>
      </c>
      <c r="I122" s="1">
        <v>2.7124200000000001E-2</v>
      </c>
      <c r="J122" s="1">
        <v>0.13097500000000001</v>
      </c>
      <c r="K122" s="2">
        <v>0.59586700000000004</v>
      </c>
      <c r="L122" s="15">
        <f t="shared" ref="L122:L127" si="6">(K122-K73)/K73</f>
        <v>-1.8321614265850293E-2</v>
      </c>
    </row>
    <row r="123" spans="1:14" x14ac:dyDescent="0.2">
      <c r="A123" t="s">
        <v>21</v>
      </c>
      <c r="B123" t="s">
        <v>11</v>
      </c>
      <c r="C123" s="12">
        <v>200</v>
      </c>
      <c r="D123">
        <v>10</v>
      </c>
      <c r="E123">
        <v>170</v>
      </c>
      <c r="F123" s="1">
        <v>7.4113299999999993E-2</v>
      </c>
      <c r="G123" s="1">
        <v>3.5442700000000001E-2</v>
      </c>
      <c r="H123" s="1">
        <v>0.127941</v>
      </c>
      <c r="I123" s="1">
        <v>5.95925E-2</v>
      </c>
      <c r="J123" s="1">
        <v>0.151559</v>
      </c>
      <c r="K123" s="2">
        <v>0.48900700000000002</v>
      </c>
      <c r="L123" s="15">
        <f t="shared" si="6"/>
        <v>-4.6160117970164144E-2</v>
      </c>
    </row>
    <row r="124" spans="1:14" x14ac:dyDescent="0.2">
      <c r="A124" t="s">
        <v>21</v>
      </c>
      <c r="B124" t="s">
        <v>12</v>
      </c>
      <c r="C124" s="12">
        <v>200</v>
      </c>
      <c r="D124">
        <v>10</v>
      </c>
      <c r="E124">
        <v>170</v>
      </c>
      <c r="F124" s="1">
        <v>1.34642E-4</v>
      </c>
      <c r="G124" s="1">
        <v>6.9300000000000004E-5</v>
      </c>
      <c r="H124" s="1">
        <v>2.44422E-4</v>
      </c>
      <c r="I124" s="1">
        <v>1.4035600000000001E-4</v>
      </c>
      <c r="J124" s="1">
        <v>2.9401900000000002E-4</v>
      </c>
      <c r="K124" s="2">
        <v>0.45793600000000001</v>
      </c>
      <c r="L124" s="15">
        <f t="shared" si="6"/>
        <v>-5.3528578957702529E-2</v>
      </c>
    </row>
    <row r="125" spans="1:14" x14ac:dyDescent="0.2">
      <c r="A125" t="s">
        <v>21</v>
      </c>
      <c r="B125" t="s">
        <v>13</v>
      </c>
      <c r="C125" s="12">
        <v>200</v>
      </c>
      <c r="D125">
        <v>10</v>
      </c>
      <c r="E125">
        <v>170</v>
      </c>
      <c r="F125" s="1">
        <v>4.4057300000000001E-2</v>
      </c>
      <c r="G125" s="1">
        <v>1.31133E-2</v>
      </c>
      <c r="H125" s="1">
        <v>6.3701999999999995E-2</v>
      </c>
      <c r="I125" s="1">
        <v>1.9548599999999999E-2</v>
      </c>
      <c r="J125" s="1">
        <v>0.11380899999999999</v>
      </c>
      <c r="K125" s="2">
        <v>0.38711699999999999</v>
      </c>
      <c r="L125" s="15">
        <f t="shared" si="6"/>
        <v>-5.5971068283630382E-2</v>
      </c>
    </row>
    <row r="126" spans="1:14" x14ac:dyDescent="0.2">
      <c r="A126" t="s">
        <v>21</v>
      </c>
      <c r="B126" t="s">
        <v>14</v>
      </c>
      <c r="C126" s="12">
        <v>200</v>
      </c>
      <c r="D126">
        <v>10</v>
      </c>
      <c r="E126">
        <v>170</v>
      </c>
      <c r="F126" s="1">
        <v>6.0153699999999997E-2</v>
      </c>
      <c r="G126" s="1">
        <v>2.0900499999999999E-2</v>
      </c>
      <c r="H126" s="1">
        <v>8.7536199999999995E-2</v>
      </c>
      <c r="I126" s="1">
        <v>3.7938300000000001E-2</v>
      </c>
      <c r="J126" s="1">
        <v>9.8701200000000003E-2</v>
      </c>
      <c r="K126" s="2">
        <v>0.60945199999999999</v>
      </c>
      <c r="L126" s="15">
        <f t="shared" si="6"/>
        <v>-3.871772668411147E-2</v>
      </c>
    </row>
    <row r="127" spans="1:14" x14ac:dyDescent="0.2">
      <c r="A127" t="s">
        <v>21</v>
      </c>
      <c r="B127" t="s">
        <v>15</v>
      </c>
      <c r="C127" s="12">
        <v>200</v>
      </c>
      <c r="D127">
        <v>10</v>
      </c>
      <c r="E127">
        <v>170</v>
      </c>
      <c r="F127" s="1">
        <v>1.44998E-4</v>
      </c>
      <c r="G127" s="1">
        <v>6.7000000000000002E-5</v>
      </c>
      <c r="H127" s="1">
        <v>2.4762800000000001E-4</v>
      </c>
      <c r="I127" s="1">
        <v>1.30507E-4</v>
      </c>
      <c r="J127" s="1">
        <v>2.9131600000000001E-4</v>
      </c>
      <c r="K127" s="2">
        <v>0.49773499999999998</v>
      </c>
      <c r="L127" s="15">
        <f t="shared" si="6"/>
        <v>-3.6263902227454479E-2</v>
      </c>
      <c r="M127" s="16">
        <f>AVERAGE(K121:K127)</f>
        <v>0.5064845714285714</v>
      </c>
      <c r="N127" t="s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28B50-8D6A-2B49-93BE-F0A25F524964}">
  <dimension ref="A1:H71"/>
  <sheetViews>
    <sheetView tabSelected="1" workbookViewId="0">
      <selection activeCell="K12" sqref="K12"/>
    </sheetView>
  </sheetViews>
  <sheetFormatPr baseColWidth="10" defaultRowHeight="16" x14ac:dyDescent="0.2"/>
  <cols>
    <col min="2" max="2" width="10.6640625" customWidth="1"/>
    <col min="3" max="8" width="10.1640625" customWidth="1"/>
  </cols>
  <sheetData>
    <row r="1" spans="1:5" x14ac:dyDescent="0.2">
      <c r="A1" t="s">
        <v>0</v>
      </c>
      <c r="B1" t="s">
        <v>25</v>
      </c>
      <c r="C1" t="s">
        <v>26</v>
      </c>
      <c r="D1" t="s">
        <v>22</v>
      </c>
      <c r="E1" t="s">
        <v>23</v>
      </c>
    </row>
    <row r="2" spans="1:5" x14ac:dyDescent="0.2">
      <c r="A2" t="s">
        <v>8</v>
      </c>
      <c r="B2" s="1">
        <f>AVERAGE(FiberAxisProfiles_merged_eval_s!K2:K8)</f>
        <v>0.55465885714285712</v>
      </c>
      <c r="C2" s="1">
        <f>AVERAGE(FiberAxisProfiles_merged_eval_s!K2,FiberAxisProfiles_merged_eval_s!K3,FiberAxisProfiles_merged_eval_s!K6,FiberAxisProfiles_merged_eval_s!K7,FiberAxisProfiles_merged_eval_s!K8)</f>
        <v>0.57616860000000003</v>
      </c>
    </row>
    <row r="3" spans="1:5" x14ac:dyDescent="0.2">
      <c r="A3" t="s">
        <v>16</v>
      </c>
      <c r="B3" s="1">
        <f>AVERAGE(FiberAxisProfiles_merged_eval_s!K9:K15)</f>
        <v>0.57526999999999995</v>
      </c>
      <c r="C3" s="1">
        <f>AVERAGE(FiberAxisProfiles_merged_eval_s!K9,FiberAxisProfiles_merged_eval_s!K10,FiberAxisProfiles_merged_eval_s!K13,FiberAxisProfiles_merged_eval_s!K14,FiberAxisProfiles_merged_eval_s!K15)</f>
        <v>0.60054759999999996</v>
      </c>
    </row>
    <row r="4" spans="1:5" x14ac:dyDescent="0.2">
      <c r="A4" t="s">
        <v>17</v>
      </c>
      <c r="B4" s="1">
        <f>AVERAGE(FiberAxisProfiles_merged_eval_s!K16:K22)</f>
        <v>0.67866271428571423</v>
      </c>
      <c r="C4" s="1">
        <f>AVERAGE(FiberAxisProfiles_merged_eval_s!K16,FiberAxisProfiles_merged_eval_s!K17,FiberAxisProfiles_merged_eval_s!K20,FiberAxisProfiles_merged_eval_s!K21,FiberAxisProfiles_merged_eval_s!K11)</f>
        <v>0.67293120000000006</v>
      </c>
    </row>
    <row r="5" spans="1:5" x14ac:dyDescent="0.2">
      <c r="A5" t="s">
        <v>18</v>
      </c>
      <c r="B5" s="1">
        <f>AVERAGE(FiberAxisProfiles_merged_eval_s!K23:K29)</f>
        <v>0.69502742857142863</v>
      </c>
      <c r="C5" s="1">
        <f>AVERAGE(FiberAxisProfiles_merged_eval_s!K23,FiberAxisProfiles_merged_eval_s!K24,FiberAxisProfiles_merged_eval_s!K27,FiberAxisProfiles_merged_eval_s!K28,FiberAxisProfiles_merged_eval_s!K29)</f>
        <v>0.71439579999999991</v>
      </c>
    </row>
    <row r="6" spans="1:5" x14ac:dyDescent="0.2">
      <c r="A6" t="s">
        <v>19</v>
      </c>
      <c r="B6" s="1">
        <f>AVERAGE(FiberAxisProfiles_merged_eval_s!K30:K36)</f>
        <v>0.65325100000000014</v>
      </c>
      <c r="C6" s="1">
        <f>AVERAGE(FiberAxisProfiles_merged_eval_s!K30,FiberAxisProfiles_merged_eval_s!K31,FiberAxisProfiles_merged_eval_s!K34,FiberAxisProfiles_merged_eval_s!K35,FiberAxisProfiles_merged_eval_s!K36)</f>
        <v>0.69510080000000007</v>
      </c>
    </row>
    <row r="7" spans="1:5" x14ac:dyDescent="0.2">
      <c r="A7" t="s">
        <v>20</v>
      </c>
      <c r="B7" s="1">
        <f>AVERAGE(FiberAxisProfiles_merged_eval_s!K37:K43)</f>
        <v>0.62317842857142847</v>
      </c>
      <c r="C7" s="1">
        <f>AVERAGE(FiberAxisProfiles_merged_eval_s!K37,FiberAxisProfiles_merged_eval_s!K38,FiberAxisProfiles_merged_eval_s!K41,FiberAxisProfiles_merged_eval_s!K42,FiberAxisProfiles_merged_eval_s!K43)</f>
        <v>0.63721539999999999</v>
      </c>
    </row>
    <row r="8" spans="1:5" x14ac:dyDescent="0.2">
      <c r="A8" t="s">
        <v>21</v>
      </c>
      <c r="B8" s="1">
        <f>AVERAGE(FiberAxisProfiles_merged_eval_s!K121:K127)</f>
        <v>0.5064845714285714</v>
      </c>
      <c r="C8" s="1">
        <f>AVERAGE(FiberAxisProfiles_merged_eval_s!K121,FiberAxisProfiles_merged_eval_s!K122,FiberAxisProfiles_merged_eval_s!K125,FiberAxisProfiles_merged_eval_s!K126,FiberAxisProfiles_merged_eval_s!K127)</f>
        <v>0.51968979999999998</v>
      </c>
      <c r="D8">
        <v>200</v>
      </c>
      <c r="E8">
        <v>10</v>
      </c>
    </row>
    <row r="9" spans="1:5" x14ac:dyDescent="0.2">
      <c r="B9" s="1"/>
    </row>
    <row r="10" spans="1:5" x14ac:dyDescent="0.2">
      <c r="B10" s="1"/>
    </row>
    <row r="11" spans="1:5" x14ac:dyDescent="0.2">
      <c r="B11" s="1"/>
    </row>
    <row r="12" spans="1:5" x14ac:dyDescent="0.2">
      <c r="B12" s="1"/>
    </row>
    <row r="13" spans="1:5" x14ac:dyDescent="0.2">
      <c r="B13" s="1"/>
    </row>
    <row r="14" spans="1:5" x14ac:dyDescent="0.2">
      <c r="B14" s="1"/>
    </row>
    <row r="15" spans="1:5" x14ac:dyDescent="0.2">
      <c r="B15" s="1"/>
    </row>
    <row r="23" spans="1:8" x14ac:dyDescent="0.2">
      <c r="A23" t="s">
        <v>8</v>
      </c>
      <c r="B23" t="s">
        <v>9</v>
      </c>
      <c r="C23" s="2">
        <v>0.57402200000000003</v>
      </c>
      <c r="D23" s="18"/>
      <c r="E23" s="18"/>
      <c r="F23" s="18"/>
      <c r="G23" s="18"/>
      <c r="H23" s="19"/>
    </row>
    <row r="24" spans="1:8" x14ac:dyDescent="0.2">
      <c r="A24" s="12" t="s">
        <v>16</v>
      </c>
      <c r="B24" s="12" t="s">
        <v>9</v>
      </c>
      <c r="C24" s="17">
        <v>0.59342700000000004</v>
      </c>
      <c r="D24" s="18"/>
      <c r="E24" s="18"/>
      <c r="F24" s="18"/>
      <c r="G24" s="18"/>
      <c r="H24" s="19"/>
    </row>
    <row r="25" spans="1:8" x14ac:dyDescent="0.2">
      <c r="A25" s="12" t="s">
        <v>17</v>
      </c>
      <c r="B25" s="12" t="s">
        <v>9</v>
      </c>
      <c r="C25" s="17">
        <v>0.68654899999999996</v>
      </c>
      <c r="D25" s="18"/>
      <c r="E25" s="18"/>
      <c r="F25" s="18"/>
      <c r="G25" s="18"/>
      <c r="H25" s="19"/>
    </row>
    <row r="26" spans="1:8" x14ac:dyDescent="0.2">
      <c r="A26" s="12" t="s">
        <v>18</v>
      </c>
      <c r="B26" s="12" t="s">
        <v>9</v>
      </c>
      <c r="C26" s="17">
        <v>0.67366099999999995</v>
      </c>
      <c r="D26" s="18"/>
      <c r="E26" s="18"/>
      <c r="F26" s="18"/>
      <c r="G26" s="18"/>
      <c r="H26" s="19"/>
    </row>
    <row r="27" spans="1:8" x14ac:dyDescent="0.2">
      <c r="A27" s="12" t="s">
        <v>19</v>
      </c>
      <c r="B27" s="12" t="s">
        <v>9</v>
      </c>
      <c r="C27" s="17">
        <v>0.65138600000000002</v>
      </c>
      <c r="D27" s="18"/>
      <c r="E27" s="18"/>
      <c r="F27" s="18"/>
      <c r="G27" s="18"/>
      <c r="H27" s="19"/>
    </row>
    <row r="28" spans="1:8" x14ac:dyDescent="0.2">
      <c r="A28" s="12" t="s">
        <v>20</v>
      </c>
      <c r="B28" s="12" t="s">
        <v>9</v>
      </c>
      <c r="C28" s="17">
        <v>0.61694599999999999</v>
      </c>
      <c r="D28" s="18"/>
      <c r="E28" s="18"/>
      <c r="F28" s="18"/>
      <c r="G28" s="18"/>
      <c r="H28" s="19"/>
    </row>
    <row r="29" spans="1:8" x14ac:dyDescent="0.2">
      <c r="A29" s="12" t="s">
        <v>21</v>
      </c>
      <c r="B29" s="12" t="s">
        <v>9</v>
      </c>
      <c r="C29" s="17">
        <v>0.50827800000000001</v>
      </c>
      <c r="D29" s="18"/>
      <c r="E29" s="18"/>
      <c r="F29" s="18"/>
      <c r="G29" s="18"/>
      <c r="H29" s="19"/>
    </row>
    <row r="30" spans="1:8" x14ac:dyDescent="0.2">
      <c r="A30" s="6" t="s">
        <v>8</v>
      </c>
      <c r="B30" s="6" t="s">
        <v>10</v>
      </c>
      <c r="C30" s="8">
        <v>0.67722599999999999</v>
      </c>
      <c r="D30" s="18"/>
      <c r="E30" s="18"/>
      <c r="F30" s="18"/>
      <c r="G30" s="18"/>
      <c r="H30" s="19"/>
    </row>
    <row r="31" spans="1:8" x14ac:dyDescent="0.2">
      <c r="A31" t="s">
        <v>16</v>
      </c>
      <c r="B31" t="s">
        <v>10</v>
      </c>
      <c r="C31" s="2">
        <v>0.71470500000000003</v>
      </c>
      <c r="D31" s="18"/>
      <c r="E31" s="18"/>
      <c r="F31" s="18"/>
      <c r="G31" s="18"/>
      <c r="H31" s="19"/>
    </row>
    <row r="32" spans="1:8" x14ac:dyDescent="0.2">
      <c r="A32" t="s">
        <v>17</v>
      </c>
      <c r="B32" t="s">
        <v>10</v>
      </c>
      <c r="C32" s="2">
        <v>0.78061999999999998</v>
      </c>
      <c r="D32" s="18"/>
      <c r="E32" s="18"/>
      <c r="F32" s="18"/>
      <c r="G32" s="18"/>
      <c r="H32" s="19"/>
    </row>
    <row r="33" spans="1:8" x14ac:dyDescent="0.2">
      <c r="A33" t="s">
        <v>18</v>
      </c>
      <c r="B33" t="s">
        <v>10</v>
      </c>
      <c r="C33" s="2">
        <v>0.78930299999999998</v>
      </c>
      <c r="D33" s="18"/>
      <c r="E33" s="18"/>
      <c r="F33" s="18"/>
      <c r="G33" s="18"/>
      <c r="H33" s="19"/>
    </row>
    <row r="34" spans="1:8" x14ac:dyDescent="0.2">
      <c r="A34" t="s">
        <v>19</v>
      </c>
      <c r="B34" t="s">
        <v>10</v>
      </c>
      <c r="C34" s="2">
        <v>0.78466199999999997</v>
      </c>
      <c r="D34" s="18"/>
      <c r="E34" s="18"/>
      <c r="F34" s="18"/>
      <c r="G34" s="18"/>
      <c r="H34" s="19"/>
    </row>
    <row r="35" spans="1:8" x14ac:dyDescent="0.2">
      <c r="A35" t="s">
        <v>20</v>
      </c>
      <c r="B35" t="s">
        <v>10</v>
      </c>
      <c r="C35" s="2">
        <v>0.72732799999999997</v>
      </c>
      <c r="D35" s="18"/>
      <c r="E35" s="18"/>
      <c r="F35" s="18"/>
      <c r="G35" s="18"/>
      <c r="H35" s="19"/>
    </row>
    <row r="36" spans="1:8" x14ac:dyDescent="0.2">
      <c r="A36" t="s">
        <v>21</v>
      </c>
      <c r="B36" t="s">
        <v>10</v>
      </c>
      <c r="C36" s="2">
        <v>0.59586700000000004</v>
      </c>
      <c r="D36" s="18"/>
      <c r="E36" s="18"/>
      <c r="F36" s="18"/>
      <c r="G36" s="18"/>
      <c r="H36" s="19"/>
    </row>
    <row r="37" spans="1:8" x14ac:dyDescent="0.2">
      <c r="A37" s="6" t="s">
        <v>8</v>
      </c>
      <c r="B37" s="6" t="s">
        <v>11</v>
      </c>
      <c r="C37" s="8">
        <v>0.517293</v>
      </c>
      <c r="D37" s="18"/>
      <c r="E37" s="18"/>
      <c r="F37" s="18"/>
      <c r="G37" s="18"/>
      <c r="H37" s="19"/>
    </row>
    <row r="38" spans="1:8" x14ac:dyDescent="0.2">
      <c r="A38" t="s">
        <v>16</v>
      </c>
      <c r="B38" t="s">
        <v>11</v>
      </c>
      <c r="C38" s="2">
        <v>0.53083100000000005</v>
      </c>
      <c r="D38" s="18"/>
      <c r="E38" s="18"/>
      <c r="F38" s="18"/>
      <c r="G38" s="18"/>
      <c r="H38" s="19"/>
    </row>
    <row r="39" spans="1:8" x14ac:dyDescent="0.2">
      <c r="A39" t="s">
        <v>17</v>
      </c>
      <c r="B39" t="s">
        <v>11</v>
      </c>
      <c r="C39" s="2">
        <v>0.68006999999999995</v>
      </c>
      <c r="D39" s="18"/>
      <c r="E39" s="18"/>
      <c r="F39" s="18"/>
      <c r="G39" s="18"/>
      <c r="H39" s="19"/>
    </row>
    <row r="40" spans="1:8" x14ac:dyDescent="0.2">
      <c r="A40" t="s">
        <v>18</v>
      </c>
      <c r="B40" t="s">
        <v>11</v>
      </c>
      <c r="C40" s="2">
        <v>0.69295700000000005</v>
      </c>
      <c r="D40" s="18"/>
      <c r="E40" s="18"/>
      <c r="F40" s="18"/>
      <c r="G40" s="18"/>
      <c r="H40" s="19"/>
    </row>
    <row r="41" spans="1:8" x14ac:dyDescent="0.2">
      <c r="A41" t="s">
        <v>19</v>
      </c>
      <c r="B41" t="s">
        <v>11</v>
      </c>
      <c r="C41" s="2">
        <v>0.54009600000000002</v>
      </c>
      <c r="D41" s="18"/>
      <c r="E41" s="18"/>
      <c r="F41" s="18"/>
      <c r="G41" s="18"/>
      <c r="H41" s="19"/>
    </row>
    <row r="42" spans="1:8" x14ac:dyDescent="0.2">
      <c r="A42" t="s">
        <v>20</v>
      </c>
      <c r="B42" t="s">
        <v>11</v>
      </c>
      <c r="C42" s="2">
        <v>0.603487</v>
      </c>
      <c r="D42" s="18"/>
      <c r="E42" s="18"/>
      <c r="F42" s="18"/>
      <c r="G42" s="18"/>
      <c r="H42" s="19"/>
    </row>
    <row r="43" spans="1:8" x14ac:dyDescent="0.2">
      <c r="A43" t="s">
        <v>21</v>
      </c>
      <c r="B43" t="s">
        <v>11</v>
      </c>
      <c r="C43" s="2">
        <v>0.48900700000000002</v>
      </c>
      <c r="D43" s="18"/>
      <c r="E43" s="18"/>
      <c r="F43" s="18"/>
      <c r="G43" s="18"/>
      <c r="H43" s="19"/>
    </row>
    <row r="44" spans="1:8" x14ac:dyDescent="0.2">
      <c r="A44" s="6" t="s">
        <v>8</v>
      </c>
      <c r="B44" s="6" t="s">
        <v>12</v>
      </c>
      <c r="C44" s="8">
        <v>0.48447600000000002</v>
      </c>
      <c r="D44" s="18"/>
      <c r="E44" s="18"/>
      <c r="F44" s="18"/>
      <c r="G44" s="18"/>
      <c r="H44" s="19"/>
    </row>
    <row r="45" spans="1:8" x14ac:dyDescent="0.2">
      <c r="A45" t="s">
        <v>16</v>
      </c>
      <c r="B45" t="s">
        <v>12</v>
      </c>
      <c r="C45" s="2">
        <v>0.49332100000000001</v>
      </c>
      <c r="D45" s="18"/>
      <c r="E45" s="18"/>
      <c r="F45" s="18"/>
      <c r="G45" s="18"/>
      <c r="H45" s="19"/>
    </row>
    <row r="46" spans="1:8" x14ac:dyDescent="0.2">
      <c r="A46" t="s">
        <v>17</v>
      </c>
      <c r="B46" t="s">
        <v>12</v>
      </c>
      <c r="C46" s="2">
        <v>0.61249699999999996</v>
      </c>
      <c r="D46" s="18"/>
      <c r="E46" s="18"/>
      <c r="F46" s="18"/>
      <c r="G46" s="18"/>
      <c r="H46" s="19"/>
    </row>
    <row r="47" spans="1:8" x14ac:dyDescent="0.2">
      <c r="A47" t="s">
        <v>18</v>
      </c>
      <c r="B47" t="s">
        <v>12</v>
      </c>
      <c r="C47" s="2">
        <v>0.60025600000000001</v>
      </c>
      <c r="D47" s="18"/>
      <c r="E47" s="18"/>
      <c r="F47" s="18"/>
      <c r="G47" s="18"/>
      <c r="H47" s="19"/>
    </row>
    <row r="48" spans="1:8" x14ac:dyDescent="0.2">
      <c r="A48" t="s">
        <v>19</v>
      </c>
      <c r="B48" t="s">
        <v>12</v>
      </c>
      <c r="C48" s="2">
        <v>0.55715700000000001</v>
      </c>
      <c r="D48" s="18"/>
      <c r="E48" s="18"/>
      <c r="F48" s="18"/>
      <c r="G48" s="18"/>
      <c r="H48" s="19"/>
    </row>
    <row r="49" spans="1:8" x14ac:dyDescent="0.2">
      <c r="A49" t="s">
        <v>20</v>
      </c>
      <c r="B49" t="s">
        <v>12</v>
      </c>
      <c r="C49" s="2">
        <v>0.572685</v>
      </c>
      <c r="D49" s="18"/>
      <c r="E49" s="18"/>
      <c r="F49" s="18"/>
      <c r="G49" s="18"/>
      <c r="H49" s="19"/>
    </row>
    <row r="50" spans="1:8" x14ac:dyDescent="0.2">
      <c r="A50" t="s">
        <v>21</v>
      </c>
      <c r="B50" t="s">
        <v>12</v>
      </c>
      <c r="C50" s="2">
        <v>0.45793600000000001</v>
      </c>
      <c r="D50" s="18"/>
      <c r="E50" s="18"/>
      <c r="F50" s="18"/>
      <c r="G50" s="18"/>
      <c r="H50" s="19"/>
    </row>
    <row r="51" spans="1:8" x14ac:dyDescent="0.2">
      <c r="A51" s="6" t="s">
        <v>8</v>
      </c>
      <c r="B51" s="6" t="s">
        <v>13</v>
      </c>
      <c r="C51" s="8">
        <v>0.41605300000000001</v>
      </c>
      <c r="D51" s="18"/>
      <c r="E51" s="18"/>
      <c r="F51" s="18"/>
      <c r="G51" s="18"/>
      <c r="H51" s="19"/>
    </row>
    <row r="52" spans="1:8" x14ac:dyDescent="0.2">
      <c r="A52" t="s">
        <v>16</v>
      </c>
      <c r="B52" t="s">
        <v>13</v>
      </c>
      <c r="C52" s="2">
        <v>0.434616</v>
      </c>
      <c r="D52" s="18"/>
      <c r="E52" s="18"/>
      <c r="F52" s="18"/>
      <c r="G52" s="18"/>
      <c r="H52" s="19"/>
    </row>
    <row r="53" spans="1:8" x14ac:dyDescent="0.2">
      <c r="A53" t="s">
        <v>17</v>
      </c>
      <c r="B53" t="s">
        <v>13</v>
      </c>
      <c r="C53" s="2">
        <v>0.66100400000000004</v>
      </c>
      <c r="D53" s="18"/>
      <c r="E53" s="18"/>
      <c r="F53" s="18"/>
      <c r="G53" s="18"/>
      <c r="H53" s="19"/>
    </row>
    <row r="54" spans="1:8" x14ac:dyDescent="0.2">
      <c r="A54" t="s">
        <v>18</v>
      </c>
      <c r="B54" t="s">
        <v>13</v>
      </c>
      <c r="C54" s="2">
        <v>0.75046400000000002</v>
      </c>
      <c r="D54" s="18"/>
      <c r="E54" s="18"/>
      <c r="F54" s="18"/>
      <c r="G54" s="18"/>
      <c r="H54" s="19"/>
    </row>
    <row r="55" spans="1:8" x14ac:dyDescent="0.2">
      <c r="A55" t="s">
        <v>19</v>
      </c>
      <c r="B55" t="s">
        <v>13</v>
      </c>
      <c r="C55" s="2">
        <v>0.73137399999999997</v>
      </c>
      <c r="D55" s="18"/>
      <c r="E55" s="18"/>
      <c r="F55" s="18"/>
      <c r="G55" s="18"/>
      <c r="H55" s="19"/>
    </row>
    <row r="56" spans="1:8" x14ac:dyDescent="0.2">
      <c r="A56" t="s">
        <v>20</v>
      </c>
      <c r="B56" t="s">
        <v>13</v>
      </c>
      <c r="C56" s="2">
        <v>0.45772299999999999</v>
      </c>
      <c r="D56" s="18"/>
      <c r="E56" s="18"/>
      <c r="F56" s="18"/>
      <c r="G56" s="18"/>
      <c r="H56" s="19"/>
    </row>
    <row r="57" spans="1:8" x14ac:dyDescent="0.2">
      <c r="A57" t="s">
        <v>21</v>
      </c>
      <c r="B57" t="s">
        <v>13</v>
      </c>
      <c r="C57" s="2">
        <v>0.38711699999999999</v>
      </c>
      <c r="D57" s="18"/>
      <c r="E57" s="18"/>
      <c r="F57" s="18"/>
      <c r="G57" s="18"/>
      <c r="H57" s="19"/>
    </row>
    <row r="58" spans="1:8" x14ac:dyDescent="0.2">
      <c r="A58" s="6" t="s">
        <v>8</v>
      </c>
      <c r="B58" s="6" t="s">
        <v>14</v>
      </c>
      <c r="C58" s="8">
        <v>0.66762900000000003</v>
      </c>
      <c r="D58" s="18"/>
      <c r="E58" s="18"/>
      <c r="F58" s="18"/>
      <c r="G58" s="18"/>
      <c r="H58" s="19"/>
    </row>
    <row r="59" spans="1:8" x14ac:dyDescent="0.2">
      <c r="A59" t="s">
        <v>16</v>
      </c>
      <c r="B59" t="s">
        <v>14</v>
      </c>
      <c r="C59" s="2">
        <v>0.69751399999999997</v>
      </c>
      <c r="D59" s="18"/>
      <c r="E59" s="18"/>
      <c r="F59" s="18"/>
      <c r="G59" s="18"/>
      <c r="H59" s="19"/>
    </row>
    <row r="60" spans="1:8" x14ac:dyDescent="0.2">
      <c r="A60" t="s">
        <v>17</v>
      </c>
      <c r="B60" t="s">
        <v>14</v>
      </c>
      <c r="C60" s="2">
        <v>0.70565199999999995</v>
      </c>
      <c r="D60" s="18"/>
      <c r="E60" s="18"/>
      <c r="F60" s="18"/>
      <c r="G60" s="18"/>
      <c r="H60" s="19"/>
    </row>
    <row r="61" spans="1:8" x14ac:dyDescent="0.2">
      <c r="A61" t="s">
        <v>18</v>
      </c>
      <c r="B61" t="s">
        <v>14</v>
      </c>
      <c r="C61" s="2">
        <v>0.73136000000000001</v>
      </c>
      <c r="D61" s="18"/>
      <c r="E61" s="18"/>
      <c r="F61" s="18"/>
      <c r="G61" s="18"/>
      <c r="H61" s="19"/>
    </row>
    <row r="62" spans="1:8" x14ac:dyDescent="0.2">
      <c r="A62" t="s">
        <v>19</v>
      </c>
      <c r="B62" t="s">
        <v>14</v>
      </c>
      <c r="C62" s="2">
        <v>0.70561099999999999</v>
      </c>
      <c r="D62" s="18"/>
      <c r="E62" s="18"/>
      <c r="F62" s="18"/>
      <c r="G62" s="18"/>
      <c r="H62" s="19"/>
    </row>
    <row r="63" spans="1:8" x14ac:dyDescent="0.2">
      <c r="A63" t="s">
        <v>20</v>
      </c>
      <c r="B63" t="s">
        <v>14</v>
      </c>
      <c r="C63" s="2">
        <v>0.75342399999999998</v>
      </c>
      <c r="D63" s="18"/>
      <c r="E63" s="18"/>
      <c r="F63" s="18"/>
      <c r="G63" s="18"/>
      <c r="H63" s="19"/>
    </row>
    <row r="64" spans="1:8" x14ac:dyDescent="0.2">
      <c r="A64" t="s">
        <v>21</v>
      </c>
      <c r="B64" t="s">
        <v>14</v>
      </c>
      <c r="C64" s="2">
        <v>0.60945199999999999</v>
      </c>
      <c r="D64" s="18"/>
      <c r="E64" s="18"/>
      <c r="F64" s="18"/>
      <c r="G64" s="18"/>
      <c r="H64" s="19"/>
    </row>
    <row r="65" spans="1:8" x14ac:dyDescent="0.2">
      <c r="A65" s="6" t="s">
        <v>8</v>
      </c>
      <c r="B65" s="6" t="s">
        <v>15</v>
      </c>
      <c r="C65" s="8">
        <v>0.54591299999999998</v>
      </c>
      <c r="D65" s="18"/>
      <c r="E65" s="18"/>
      <c r="F65" s="18"/>
      <c r="G65" s="18"/>
      <c r="H65" s="19"/>
    </row>
    <row r="66" spans="1:8" x14ac:dyDescent="0.2">
      <c r="A66" t="s">
        <v>16</v>
      </c>
      <c r="B66" t="s">
        <v>15</v>
      </c>
      <c r="C66" s="2">
        <v>0.56247599999999998</v>
      </c>
      <c r="D66" s="18"/>
      <c r="E66" s="18"/>
      <c r="F66" s="18"/>
      <c r="G66" s="18"/>
      <c r="H66" s="19"/>
    </row>
    <row r="67" spans="1:8" x14ac:dyDescent="0.2">
      <c r="A67" t="s">
        <v>17</v>
      </c>
      <c r="B67" t="s">
        <v>15</v>
      </c>
      <c r="C67" s="2">
        <v>0.624247</v>
      </c>
      <c r="D67" s="18"/>
      <c r="E67" s="18"/>
      <c r="F67" s="18"/>
      <c r="G67" s="18"/>
      <c r="H67" s="19"/>
    </row>
    <row r="68" spans="1:8" x14ac:dyDescent="0.2">
      <c r="A68" t="s">
        <v>18</v>
      </c>
      <c r="B68" t="s">
        <v>15</v>
      </c>
      <c r="C68" s="2">
        <v>0.62719100000000005</v>
      </c>
      <c r="D68" s="18"/>
      <c r="E68" s="18"/>
      <c r="F68" s="18"/>
      <c r="G68" s="18"/>
      <c r="H68" s="19"/>
    </row>
    <row r="69" spans="1:8" x14ac:dyDescent="0.2">
      <c r="A69" t="s">
        <v>19</v>
      </c>
      <c r="B69" t="s">
        <v>15</v>
      </c>
      <c r="C69" s="2">
        <v>0.60247099999999998</v>
      </c>
      <c r="D69" s="18"/>
      <c r="E69" s="18"/>
      <c r="F69" s="18"/>
      <c r="G69" s="18"/>
      <c r="H69" s="19"/>
    </row>
    <row r="70" spans="1:8" x14ac:dyDescent="0.2">
      <c r="A70" t="s">
        <v>20</v>
      </c>
      <c r="B70" t="s">
        <v>15</v>
      </c>
      <c r="C70" s="2">
        <v>0.63065599999999999</v>
      </c>
      <c r="D70" s="18"/>
      <c r="E70" s="18"/>
      <c r="F70" s="18"/>
      <c r="G70" s="18"/>
      <c r="H70" s="19"/>
    </row>
    <row r="71" spans="1:8" x14ac:dyDescent="0.2">
      <c r="A71" t="s">
        <v>21</v>
      </c>
      <c r="B71" t="s">
        <v>15</v>
      </c>
      <c r="C71" s="2">
        <v>0.49773499999999998</v>
      </c>
      <c r="D71" s="18"/>
      <c r="E71" s="18"/>
      <c r="F71" s="18"/>
      <c r="G71" s="18"/>
      <c r="H71" s="19"/>
    </row>
  </sheetData>
  <autoFilter ref="A1:A26" xr:uid="{F3D28B50-8D6A-2B49-93BE-F0A25F524964}"/>
  <sortState xmlns:xlrd2="http://schemas.microsoft.com/office/spreadsheetml/2017/richdata2" ref="A23:H71">
    <sortCondition ref="B23:B71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FiberAxisProfiles_merged_eval_s</vt:lpstr>
      <vt:lpstr>Overall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Styner, Martin Andreas</cp:lastModifiedBy>
  <dcterms:created xsi:type="dcterms:W3CDTF">2026-05-22T17:30:15Z</dcterms:created>
  <dcterms:modified xsi:type="dcterms:W3CDTF">2026-05-23T07:37:11Z</dcterms:modified>
</cp:coreProperties>
</file>